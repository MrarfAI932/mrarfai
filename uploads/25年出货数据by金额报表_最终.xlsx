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activeTab="1"/>
  </bookViews>
  <sheets>
    <sheet name="Sheet1" sheetId="1" state="hidden" r:id="rId1"/>
    <sheet name="2025数据" sheetId="4" r:id="rId2"/>
    <sheet name="Sheet2" sheetId="7" r:id="rId3"/>
    <sheet name="Sheet3" sheetId="9" r:id="rId4"/>
    <sheet name="与年度目标对比" sheetId="5" state="hidden" r:id="rId5"/>
    <sheet name="与年度目标对比 (2)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<sst xmlns="http://schemas.openxmlformats.org/spreadsheetml/2006/main" count="573" uniqueCount="162">
  <si>
    <t>Q1</t>
  </si>
  <si>
    <t>Jan</t>
  </si>
  <si>
    <t>Feb</t>
  </si>
  <si>
    <t>Mar</t>
  </si>
  <si>
    <t>2025年计划出货金额</t>
  </si>
  <si>
    <t>2024年实际出货金额</t>
  </si>
  <si>
    <t>Q2</t>
  </si>
  <si>
    <t>Apr</t>
  </si>
  <si>
    <t>May</t>
  </si>
  <si>
    <t>Jun</t>
  </si>
  <si>
    <t>2025年实际+计划出货金额</t>
  </si>
  <si>
    <t>Q3</t>
  </si>
  <si>
    <t>Jul</t>
  </si>
  <si>
    <t>Aug</t>
  </si>
  <si>
    <t>Sep</t>
  </si>
  <si>
    <t>客户</t>
  </si>
  <si>
    <t>1-12月</t>
  </si>
  <si>
    <t>1月份</t>
  </si>
  <si>
    <t>2月份</t>
  </si>
  <si>
    <t>3月份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</si>
  <si>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</si>
  <si>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</si>
  <si>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</si>
  <si>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</si>
  <si>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</si>
  <si>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</si>
  <si>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</si>
  <si>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</si>
  <si>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</si>
  <si>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实际出货合计</t>
  </si>
  <si>
    <t>实际出货</t>
  </si>
  <si>
    <t>年度占比</t>
  </si>
  <si>
    <t>local客户占比</t>
  </si>
  <si>
    <t>汇总</t>
  </si>
  <si>
    <t>Javi</t>
  </si>
  <si>
    <t>HMD</t>
  </si>
  <si>
    <r>
      <rPr>
        <sz val="9.75"/>
        <color rgb="FF000000"/>
        <rFont val="Calibri"/>
        <charset val="134"/>
      </rPr>
      <t>S</t>
    </r>
    <r>
      <rPr>
        <sz val="9.75"/>
        <color rgb="FF000000"/>
        <rFont val="Calibri"/>
        <charset val="134"/>
      </rPr>
      <t>teve</t>
    </r>
  </si>
  <si>
    <t>ZTE</t>
  </si>
  <si>
    <r>
      <rPr>
        <sz val="9.75"/>
        <color rgb="FF000000"/>
        <rFont val="Calibri"/>
        <charset val="134"/>
      </rPr>
      <t>D</t>
    </r>
    <r>
      <rPr>
        <sz val="9.75"/>
        <color rgb="FF000000"/>
        <rFont val="Calibri"/>
        <charset val="134"/>
      </rPr>
      <t>iana</t>
    </r>
  </si>
  <si>
    <t>LAVA</t>
  </si>
  <si>
    <t>Arthur</t>
  </si>
  <si>
    <t>SM</t>
  </si>
  <si>
    <t>Sam</t>
  </si>
  <si>
    <t>BLU</t>
  </si>
  <si>
    <r>
      <rPr>
        <sz val="9.75"/>
        <color rgb="FF000000"/>
        <rFont val="Calibri"/>
        <charset val="134"/>
      </rPr>
      <t>J</t>
    </r>
    <r>
      <rPr>
        <sz val="9.75"/>
        <color rgb="FF000000"/>
        <rFont val="Calibri"/>
        <charset val="134"/>
      </rPr>
      <t>ava</t>
    </r>
  </si>
  <si>
    <t>Doro</t>
  </si>
  <si>
    <t>Steve</t>
  </si>
  <si>
    <t>MBC</t>
  </si>
  <si>
    <t>PT</t>
  </si>
  <si>
    <t>LF</t>
  </si>
  <si>
    <t>YTF</t>
  </si>
  <si>
    <t>AI</t>
  </si>
  <si>
    <t>GDL</t>
  </si>
  <si>
    <t>WIKO</t>
  </si>
  <si>
    <t>TP</t>
  </si>
  <si>
    <r>
      <rPr>
        <sz val="9.75"/>
        <color rgb="FF000000"/>
        <rFont val="Calibri"/>
        <charset val="134"/>
      </rPr>
      <t>J</t>
    </r>
    <r>
      <rPr>
        <sz val="9.75"/>
        <color rgb="FF000000"/>
        <rFont val="Calibri"/>
        <charset val="134"/>
      </rPr>
      <t>ackson</t>
    </r>
  </si>
  <si>
    <t>XM</t>
  </si>
  <si>
    <t>GV</t>
  </si>
  <si>
    <t>VGT</t>
  </si>
  <si>
    <t>ST</t>
  </si>
  <si>
    <t>SL</t>
  </si>
  <si>
    <t>Assr</t>
  </si>
  <si>
    <t>SK</t>
  </si>
  <si>
    <t>ET</t>
  </si>
  <si>
    <t>MC</t>
  </si>
  <si>
    <r>
      <rPr>
        <sz val="9.75"/>
        <color rgb="FF000000"/>
        <rFont val="Calibri"/>
        <charset val="134"/>
      </rPr>
      <t>J</t>
    </r>
    <r>
      <rPr>
        <sz val="9.75"/>
        <color rgb="FF000000"/>
        <rFont val="Calibri"/>
        <charset val="134"/>
      </rPr>
      <t>avi</t>
    </r>
  </si>
  <si>
    <t>ZYB</t>
  </si>
  <si>
    <t>Xiaodu</t>
  </si>
  <si>
    <t>TAL</t>
  </si>
  <si>
    <t>KK</t>
  </si>
  <si>
    <t>Didi</t>
  </si>
  <si>
    <t>MT</t>
  </si>
  <si>
    <t>哈啰</t>
  </si>
  <si>
    <t>德卡</t>
  </si>
  <si>
    <t>巨鼎</t>
  </si>
  <si>
    <t>艾康</t>
  </si>
  <si>
    <t>天猫</t>
  </si>
  <si>
    <t>Webin</t>
  </si>
  <si>
    <t>MY</t>
  </si>
  <si>
    <t>TX</t>
  </si>
  <si>
    <t>蚂蚁渠道</t>
  </si>
  <si>
    <t>销售</t>
  </si>
  <si>
    <t>1-12月
实际出货</t>
  </si>
  <si>
    <t>1月份
实际出货</t>
  </si>
  <si>
    <t>2月份
实际出货</t>
  </si>
  <si>
    <t>3月份
实际出货</t>
  </si>
  <si>
    <t>4月份
实际出货</t>
  </si>
  <si>
    <t>5月份
实际出货</t>
  </si>
  <si>
    <t>6月份
实际出货</t>
  </si>
  <si>
    <t>7月份
实际出货</t>
  </si>
  <si>
    <t>8月份
实际出货</t>
  </si>
  <si>
    <t>9月份
实际出货</t>
  </si>
  <si>
    <t>10月份
实际出货</t>
  </si>
  <si>
    <t>11月份
实际出货</t>
  </si>
  <si>
    <t>12月份
实际出货</t>
  </si>
  <si>
    <t>冲刺版年度目标</t>
  </si>
  <si>
    <t>冲刺版年度目标完成率</t>
  </si>
  <si>
    <t>保底版年度目标</t>
  </si>
  <si>
    <t>保底版年度目标完成率</t>
  </si>
  <si>
    <t>戴明星</t>
  </si>
  <si>
    <t>胡凤</t>
  </si>
  <si>
    <t>孙浩</t>
  </si>
  <si>
    <t>魏炜</t>
  </si>
  <si>
    <t>销售四部</t>
  </si>
  <si>
    <t>那冬</t>
  </si>
  <si>
    <t>王琦</t>
  </si>
  <si>
    <t>others</t>
  </si>
  <si>
    <t>合计</t>
  </si>
  <si>
    <t>全年</t>
  </si>
  <si>
    <t>偏差</t>
  </si>
  <si>
    <t>2024年数据</t>
  </si>
  <si>
    <t>增长率</t>
  </si>
  <si>
    <t>各业务预估占比</t>
  </si>
  <si>
    <t>保底目标</t>
  </si>
  <si>
    <t>local</t>
  </si>
  <si>
    <t>平板</t>
  </si>
  <si>
    <t>共享</t>
  </si>
  <si>
    <t>others AIOT</t>
  </si>
  <si>
    <t>类别</t>
  </si>
  <si>
    <t>2025年</t>
  </si>
  <si>
    <t>2025业务贡献度</t>
  </si>
  <si>
    <t>2024年</t>
  </si>
  <si>
    <t>2024业务贡献度</t>
  </si>
  <si>
    <t>增长额</t>
  </si>
  <si>
    <t>业务贡献比变化</t>
  </si>
  <si>
    <t>区域</t>
  </si>
  <si>
    <t>出货金额</t>
  </si>
  <si>
    <t>印度</t>
  </si>
  <si>
    <t>美国</t>
  </si>
  <si>
    <t>中东</t>
  </si>
  <si>
    <t>拉美</t>
  </si>
  <si>
    <t>孟加拉</t>
  </si>
  <si>
    <t>南非</t>
  </si>
  <si>
    <t>阿尔及利亚</t>
  </si>
  <si>
    <t>巴基斯坦</t>
  </si>
  <si>
    <t>越南</t>
  </si>
  <si>
    <t>肯尼亚</t>
  </si>
  <si>
    <t>瑞典</t>
  </si>
  <si>
    <t>全年保底</t>
  </si>
  <si>
    <t>占比</t>
  </si>
  <si>
    <t>Q4</t>
  </si>
  <si>
    <t>Q1+Q2+Q3</t>
  </si>
  <si>
    <t>年度目标完成率</t>
  </si>
  <si>
    <t>目标分解</t>
  </si>
  <si>
    <t>实际达成</t>
  </si>
  <si>
    <t>计划</t>
  </si>
  <si>
    <t>实际&amp;计划</t>
  </si>
  <si>
    <t>local king 客户</t>
  </si>
  <si>
    <t>目标分解占比</t>
  </si>
  <si>
    <t>Q1完成占比</t>
  </si>
  <si>
    <t>Q2计划占比</t>
  </si>
  <si>
    <t>完成+计划</t>
  </si>
  <si>
    <t>LT</t>
  </si>
  <si>
    <t>Wiko</t>
  </si>
  <si>
    <t>新客户-Sherman</t>
  </si>
  <si>
    <t>日本MNVO</t>
  </si>
  <si>
    <t>销售人员</t>
  </si>
  <si>
    <t>实际</t>
  </si>
  <si>
    <t>实际+计划</t>
  </si>
  <si>
    <t>于聪志</t>
  </si>
  <si>
    <t>全年冲刺</t>
  </si>
  <si>
    <t>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</si>
</sst>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#,##0_ "/>
    <numFmt numFmtId="178" formatCode="0_ ;[Red]\-0\ "/>
    <numFmt numFmtId="179" formatCode="#,##0_ ;[Red]\-#,##0\ "/>
    <numFmt numFmtId="180" formatCode="[$-F400]h:mm:ss\ AM/PM"/>
    <numFmt numFmtId="181" formatCode="#,##0_);[Red]\(#,##0\)"/>
    <numFmt numFmtId="182" formatCode="yyyy&quot;年&quot;m&quot;月&quot;;@"/>
    <numFmt numFmtId="183" formatCode="0.00_ "/>
  </numFmts>
  <fonts count="34">
    <font>
      <sz val="10"/>
      <color theme="1"/>
      <name val="等线"/>
      <charset val="134"/>
      <scheme val="minor"/>
    </font>
    <font>
      <b/>
      <sz val="6.75"/>
      <color rgb="FF000000"/>
      <name val="等线"/>
      <charset val="134"/>
      <scheme val="minor"/>
    </font>
    <font>
      <sz val="6.75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color rgb="FF2D4D6A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2D4D6A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EEBF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4749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23962"/>
      </left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11" borderId="22" applyNumberFormat="0" applyAlignment="0" applyProtection="0">
      <alignment vertical="center"/>
    </xf>
    <xf numFmtId="0" fontId="24" fillId="11" borderId="21" applyNumberFormat="0" applyAlignment="0" applyProtection="0">
      <alignment vertical="center"/>
    </xf>
    <xf numFmtId="0" fontId="25" fillId="12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176" fontId="13" fillId="0" borderId="0">
      <alignment vertical="center"/>
    </xf>
  </cellStyleXfs>
  <cellXfs count="82">
    <xf numFmtId="0" fontId="0" fillId="0" borderId="0" xfId="0" applyAlignment="1">
      <alignment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80" fontId="2" fillId="0" borderId="0" xfId="0" applyNumberFormat="1" applyFont="1" applyAlignment="1">
      <alignment vertical="center"/>
    </xf>
    <xf numFmtId="179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180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7" fontId="2" fillId="3" borderId="0" xfId="0" applyNumberFormat="1" applyFont="1" applyFill="1" applyAlignment="1">
      <alignment vertical="center"/>
    </xf>
    <xf numFmtId="178" fontId="2" fillId="3" borderId="0" xfId="0" applyNumberFormat="1" applyFont="1" applyFill="1" applyAlignment="1">
      <alignment vertical="center"/>
    </xf>
    <xf numFmtId="179" fontId="2" fillId="3" borderId="0" xfId="0" applyNumberFormat="1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180" fontId="4" fillId="0" borderId="0" xfId="0" applyNumberFormat="1" applyFont="1" applyAlignment="1">
      <alignment vertical="center"/>
    </xf>
    <xf numFmtId="179" fontId="4" fillId="0" borderId="0" xfId="0" applyNumberFormat="1" applyFont="1" applyAlignment="1">
      <alignment vertical="center"/>
    </xf>
    <xf numFmtId="177" fontId="1" fillId="0" borderId="1" xfId="0" applyNumberFormat="1" applyFont="1" applyBorder="1" applyAlignment="1">
      <alignment horizontal="left" vertical="center"/>
    </xf>
    <xf numFmtId="179" fontId="1" fillId="2" borderId="0" xfId="0" applyNumberFormat="1" applyFont="1" applyFill="1" applyAlignment="1">
      <alignment horizontal="center" vertical="center" wrapText="1"/>
    </xf>
    <xf numFmtId="10" fontId="2" fillId="0" borderId="0" xfId="0" applyNumberFormat="1" applyFont="1" applyAlignment="1">
      <alignment vertical="center"/>
    </xf>
    <xf numFmtId="10" fontId="2" fillId="4" borderId="0" xfId="0" applyNumberFormat="1" applyFont="1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180" fontId="5" fillId="0" borderId="0" xfId="0" applyNumberFormat="1" applyFont="1" applyAlignment="1">
      <alignment horizontal="center" vertical="center"/>
    </xf>
    <xf numFmtId="180" fontId="4" fillId="0" borderId="3" xfId="0" applyNumberFormat="1" applyFont="1" applyBorder="1" applyAlignment="1">
      <alignment vertical="center"/>
    </xf>
    <xf numFmtId="180" fontId="6" fillId="5" borderId="1" xfId="0" applyNumberFormat="1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>
      <alignment horizontal="center" vertical="center" wrapText="1"/>
    </xf>
    <xf numFmtId="180" fontId="6" fillId="5" borderId="4" xfId="0" applyNumberFormat="1" applyFont="1" applyFill="1" applyBorder="1" applyAlignment="1">
      <alignment horizontal="center" vertical="center"/>
    </xf>
    <xf numFmtId="180" fontId="6" fillId="5" borderId="5" xfId="0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80" fontId="7" fillId="0" borderId="0" xfId="0" applyNumberFormat="1" applyFont="1" applyAlignment="1">
      <alignment vertical="center"/>
    </xf>
    <xf numFmtId="180" fontId="8" fillId="0" borderId="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180" fontId="3" fillId="6" borderId="1" xfId="0" applyNumberFormat="1" applyFont="1" applyFill="1" applyBorder="1" applyAlignment="1">
      <alignment horizontal="center" vertical="center"/>
    </xf>
    <xf numFmtId="181" fontId="3" fillId="6" borderId="6" xfId="0" applyNumberFormat="1" applyFont="1" applyFill="1" applyBorder="1" applyAlignment="1">
      <alignment horizontal="center"/>
    </xf>
    <xf numFmtId="181" fontId="3" fillId="6" borderId="1" xfId="0" applyNumberFormat="1" applyFont="1" applyFill="1" applyBorder="1" applyAlignment="1">
      <alignment horizontal="center" vertical="center"/>
    </xf>
    <xf numFmtId="9" fontId="11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181" fontId="3" fillId="6" borderId="6" xfId="0" applyNumberFormat="1" applyFont="1" applyFill="1" applyBorder="1" applyAlignment="1">
      <alignment horizontal="right"/>
    </xf>
    <xf numFmtId="181" fontId="3" fillId="7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181" fontId="3" fillId="8" borderId="1" xfId="0" applyNumberFormat="1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181" fontId="5" fillId="0" borderId="0" xfId="0" applyNumberFormat="1" applyFont="1" applyAlignment="1">
      <alignment vertical="center"/>
    </xf>
    <xf numFmtId="9" fontId="5" fillId="0" borderId="0" xfId="0" applyNumberFormat="1" applyFont="1" applyAlignment="1">
      <alignment vertical="center"/>
    </xf>
    <xf numFmtId="180" fontId="8" fillId="0" borderId="0" xfId="0" applyNumberFormat="1" applyFont="1" applyAlignment="1">
      <alignment horizontal="left" vertical="center"/>
    </xf>
    <xf numFmtId="181" fontId="10" fillId="0" borderId="0" xfId="0" applyNumberFormat="1" applyFont="1" applyAlignment="1">
      <alignment vertical="center"/>
    </xf>
    <xf numFmtId="180" fontId="6" fillId="5" borderId="7" xfId="0" applyNumberFormat="1" applyFont="1" applyFill="1" applyBorder="1" applyAlignment="1">
      <alignment horizontal="center" vertical="center" wrapText="1"/>
    </xf>
    <xf numFmtId="180" fontId="6" fillId="5" borderId="0" xfId="0" applyNumberFormat="1" applyFont="1" applyFill="1" applyAlignment="1">
      <alignment horizontal="center" vertical="center" wrapText="1"/>
    </xf>
    <xf numFmtId="180" fontId="6" fillId="5" borderId="4" xfId="0" applyNumberFormat="1" applyFont="1" applyFill="1" applyBorder="1" applyAlignment="1">
      <alignment horizontal="center" vertical="center" wrapText="1"/>
    </xf>
    <xf numFmtId="180" fontId="6" fillId="5" borderId="8" xfId="0" applyNumberFormat="1" applyFont="1" applyFill="1" applyBorder="1" applyAlignment="1">
      <alignment horizontal="center" vertical="center" wrapText="1"/>
    </xf>
    <xf numFmtId="177" fontId="12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77" fontId="3" fillId="0" borderId="6" xfId="0" applyNumberFormat="1" applyFont="1" applyBorder="1" applyAlignment="1">
      <alignment horizontal="center"/>
    </xf>
    <xf numFmtId="180" fontId="7" fillId="2" borderId="9" xfId="0" applyNumberFormat="1" applyFont="1" applyFill="1" applyBorder="1" applyAlignment="1">
      <alignment vertical="center"/>
    </xf>
    <xf numFmtId="182" fontId="7" fillId="2" borderId="10" xfId="0" applyNumberFormat="1" applyFont="1" applyFill="1" applyBorder="1" applyAlignment="1">
      <alignment vertical="center"/>
    </xf>
    <xf numFmtId="182" fontId="7" fillId="2" borderId="11" xfId="0" applyNumberFormat="1" applyFont="1" applyFill="1" applyBorder="1" applyAlignment="1">
      <alignment vertical="center"/>
    </xf>
    <xf numFmtId="180" fontId="7" fillId="2" borderId="12" xfId="0" applyNumberFormat="1" applyFont="1" applyFill="1" applyBorder="1" applyAlignment="1">
      <alignment vertical="center"/>
    </xf>
    <xf numFmtId="177" fontId="7" fillId="0" borderId="13" xfId="0" applyNumberFormat="1" applyFont="1" applyBorder="1" applyAlignment="1">
      <alignment vertical="center"/>
    </xf>
    <xf numFmtId="177" fontId="4" fillId="0" borderId="13" xfId="0" applyNumberFormat="1" applyFont="1" applyBorder="1" applyAlignment="1">
      <alignment vertical="center"/>
    </xf>
    <xf numFmtId="177" fontId="4" fillId="0" borderId="14" xfId="0" applyNumberFormat="1" applyFont="1" applyBorder="1" applyAlignment="1">
      <alignment vertical="center"/>
    </xf>
    <xf numFmtId="180" fontId="7" fillId="2" borderId="15" xfId="0" applyNumberFormat="1" applyFont="1" applyFill="1" applyBorder="1" applyAlignment="1">
      <alignment vertical="center"/>
    </xf>
    <xf numFmtId="177" fontId="7" fillId="0" borderId="16" xfId="0" applyNumberFormat="1" applyFont="1" applyBorder="1" applyAlignment="1">
      <alignment vertical="center"/>
    </xf>
    <xf numFmtId="177" fontId="4" fillId="0" borderId="16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183" fontId="4" fillId="0" borderId="0" xfId="0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2025VS2024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2025年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Sheet2!$B$2:$B$7</c:f>
              <c:numCache>
                <c:formatCode>#,##0_ </c:formatCode>
                <c:ptCount val="6"/>
                <c:pt idx="0">
                  <c:v>107762.610612023</c:v>
                </c:pt>
                <c:pt idx="1">
                  <c:v>46476.7682517883</c:v>
                </c:pt>
                <c:pt idx="2">
                  <c:v>90654.4868259533</c:v>
                </c:pt>
                <c:pt idx="3">
                  <c:v>109228.974109832</c:v>
                </c:pt>
                <c:pt idx="4">
                  <c:v>24232.6286</c:v>
                </c:pt>
                <c:pt idx="5">
                  <c:v>38741.252616279</c:v>
                </c:pt>
              </c:numCache>
            </c:numRef>
          </c:val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2024年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Sheet2!$D$2:$D$7</c:f>
              <c:numCache>
                <c:formatCode>#,##0_ </c:formatCode>
                <c:ptCount val="6"/>
                <c:pt idx="0">
                  <c:v>75882.881553994</c:v>
                </c:pt>
                <c:pt idx="1">
                  <c:v>80633.8935786</c:v>
                </c:pt>
                <c:pt idx="2">
                  <c:v>36786.378549</c:v>
                </c:pt>
                <c:pt idx="3">
                  <c:v>51904.3422859822</c:v>
                </c:pt>
                <c:pt idx="4">
                  <c:v>16966.7013946902</c:v>
                </c:pt>
                <c:pt idx="5">
                  <c:v>8556.93627050886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44012528"/>
        <c:axId val="409782115"/>
      </c:barChart>
      <c:catAx>
        <c:axId val="144012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782115"/>
        <c:crosses val="autoZero"/>
        <c:auto val="1"/>
        <c:lblAlgn val="ctr"/>
        <c:lblOffset val="100"/>
        <c:noMultiLvlLbl val="0"/>
      </c:catAx>
      <c:valAx>
        <c:axId val="4097821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0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2fe0ce-9495-419f-9609-1e6f865cc1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业务贡献度</a:t>
            </a:r>
            <a:r>
              <a:rPr lang="en-US" altLang="zh-CN"/>
              <a:t>2025VS2024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2025业务贡献度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Sheet2!$C$2:$C$7</c:f>
              <c:numCache>
                <c:formatCode>0%</c:formatCode>
                <c:ptCount val="6"/>
                <c:pt idx="0">
                  <c:v>0.258363600532648</c:v>
                </c:pt>
                <c:pt idx="1">
                  <c:v>0.111429234299877</c:v>
                </c:pt>
                <c:pt idx="2">
                  <c:v>0.217346438507491</c:v>
                </c:pt>
                <c:pt idx="3">
                  <c:v>0.261879244324422</c:v>
                </c:pt>
                <c:pt idx="4">
                  <c:v>0.0580983435711968</c:v>
                </c:pt>
                <c:pt idx="5">
                  <c:v>0.0928831387643644</c:v>
                </c:pt>
              </c:numCache>
            </c:numRef>
          </c:val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2024业务贡献度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Sheet2!$E$2:$E$7</c:f>
              <c:numCache>
                <c:formatCode>0%</c:formatCode>
                <c:ptCount val="6"/>
                <c:pt idx="0">
                  <c:v>0.280288714991025</c:v>
                </c:pt>
                <c:pt idx="1">
                  <c:v>0.297837535331172</c:v>
                </c:pt>
                <c:pt idx="2">
                  <c:v>0.135877902387458</c:v>
                </c:pt>
                <c:pt idx="3">
                  <c:v>0.191719148032624</c:v>
                </c:pt>
                <c:pt idx="4">
                  <c:v>0.0626699307428165</c:v>
                </c:pt>
                <c:pt idx="5">
                  <c:v>0.0316067685149047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7426636"/>
        <c:axId val="236755290"/>
      </c:barChart>
      <c:catAx>
        <c:axId val="2174266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755290"/>
        <c:crosses val="autoZero"/>
        <c:auto val="1"/>
        <c:lblAlgn val="ctr"/>
        <c:lblOffset val="100"/>
        <c:noMultiLvlLbl val="0"/>
      </c:catAx>
      <c:valAx>
        <c:axId val="2367552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4266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623201-e76f-4d74-9933-0bbf3ba009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业务贡献变化趋势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增长率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Sheet2!$G$2:$G$7</c:f>
              <c:numCache>
                <c:formatCode>0%</c:formatCode>
                <c:ptCount val="6"/>
                <c:pt idx="0">
                  <c:v>0.420117533825401</c:v>
                </c:pt>
                <c:pt idx="1">
                  <c:v>-0.423607540339301</c:v>
                </c:pt>
                <c:pt idx="2">
                  <c:v>1.46434931628837</c:v>
                </c:pt>
                <c:pt idx="3">
                  <c:v>1.10442844084225</c:v>
                </c:pt>
                <c:pt idx="4">
                  <c:v>0.428246306473198</c:v>
                </c:pt>
                <c:pt idx="5">
                  <c:v>3.52746770474372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306238"/>
        <c:axId val="777362280"/>
      </c:barChart>
      <c:lineChart>
        <c:grouping val="standard"/>
        <c:varyColors val="0"/>
        <c:ser>
          <c:idx val="1"/>
          <c:order val="1"/>
          <c:tx>
            <c:strRef>
              <c:f>Sheet2!$H$1</c:f>
              <c:strCache>
                <c:ptCount val="1"/>
                <c:pt idx="0">
                  <c:v>业务贡献比变化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Sheet2!$H$2:$H$7</c:f>
              <c:numCache>
                <c:formatCode>0.00%</c:formatCode>
                <c:ptCount val="6"/>
                <c:pt idx="0">
                  <c:v>-0.021925114458377</c:v>
                </c:pt>
                <c:pt idx="1">
                  <c:v>-0.186408301031295</c:v>
                </c:pt>
                <c:pt idx="2">
                  <c:v>0.0814685361200335</c:v>
                </c:pt>
                <c:pt idx="3">
                  <c:v>0.070160096291798</c:v>
                </c:pt>
                <c:pt idx="4">
                  <c:v>-0.00457158717161971</c:v>
                </c:pt>
                <c:pt idx="5">
                  <c:v>0.0612763702494597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5025840"/>
        <c:axId val="958191121"/>
      </c:lineChart>
      <c:catAx>
        <c:axId val="8063062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362280"/>
        <c:crosses val="autoZero"/>
        <c:auto val="1"/>
        <c:lblAlgn val="ctr"/>
        <c:lblOffset val="100"/>
        <c:noMultiLvlLbl val="0"/>
      </c:catAx>
      <c:valAx>
        <c:axId val="77736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306238"/>
        <c:crosses val="autoZero"/>
        <c:crossBetween val="between"/>
      </c:valAx>
      <c:catAx>
        <c:axId val="98502584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191121"/>
        <c:crosses val="autoZero"/>
        <c:auto val="1"/>
        <c:lblAlgn val="ctr"/>
        <c:lblOffset val="100"/>
        <c:noMultiLvlLbl val="0"/>
      </c:catAx>
      <c:valAx>
        <c:axId val="95819112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502584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a12cde-5863-4f61-95bd-d8d2c6a8d2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Sheet2!$A$2:$A$7</c:f>
              <c:strCache>
                <c:ptCount val="6"/>
                <c:pt idx="0">
                  <c:v>ZTE</c:v>
                </c:pt>
                <c:pt idx="1">
                  <c:v>HMD</c:v>
                </c:pt>
                <c:pt idx="2">
                  <c:v>local</c:v>
                </c:pt>
                <c:pt idx="3">
                  <c:v>平板</c:v>
                </c:pt>
                <c:pt idx="4">
                  <c:v>共享</c:v>
                </c:pt>
                <c:pt idx="5">
                  <c:v>others AIOT</c:v>
                </c:pt>
              </c:strCache>
            </c:strRef>
          </c:cat>
          <c:val>
            <c:numRef>
              <c:f>Sheet2!$C$2:$C$7</c:f>
              <c:numCache>
                <c:formatCode>0%</c:formatCode>
                <c:ptCount val="6"/>
                <c:pt idx="0">
                  <c:v>0.258363600532648</c:v>
                </c:pt>
                <c:pt idx="1">
                  <c:v>0.111429234299877</c:v>
                </c:pt>
                <c:pt idx="2">
                  <c:v>0.217346438507491</c:v>
                </c:pt>
                <c:pt idx="3">
                  <c:v>0.261879244324422</c:v>
                </c:pt>
                <c:pt idx="4">
                  <c:v>0.0580983435711968</c:v>
                </c:pt>
                <c:pt idx="5">
                  <c:v>0.0928831387643644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990629-7c14-4e41-891a-36ef3274a4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123825</xdr:colOff>
      <xdr:row>11</xdr:row>
      <xdr:rowOff>79375</xdr:rowOff>
    </xdr:from>
    <xdr:to>
      <xdr:col>6</xdr:col>
      <xdr:colOff>236220</xdr:colOff>
      <xdr:row>28</xdr:row>
      <xdr:rowOff>69850</xdr:rowOff>
    </xdr:to>
    <xdr:graphicFrame>
      <xdr:nvGraphicFramePr>
        <xdr:cNvPr id="4" name="图表 3"/>
        <xdr:cNvGraphicFramePr/>
      </xdr:nvGraphicFramePr>
      <xdr:xfrm>
        <a:off x="123825" y="1860550"/>
        <a:ext cx="54667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685800</xdr:colOff>
      <xdr:row>11</xdr:row>
      <xdr:rowOff>3175</xdr:rowOff>
    </xdr:from>
    <xdr:to>
      <xdr:col>13</xdr:col>
      <xdr:colOff>471170</xdr:colOff>
      <xdr:row>27</xdr:row>
      <xdr:rowOff>155575</xdr:rowOff>
    </xdr:to>
    <xdr:graphicFrame>
      <xdr:nvGraphicFramePr>
        <xdr:cNvPr id="5" name="图表 4"/>
        <xdr:cNvGraphicFramePr/>
      </xdr:nvGraphicFramePr>
      <xdr:xfrm>
        <a:off x="6040120" y="1784350"/>
        <a:ext cx="48304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29</xdr:row>
      <xdr:rowOff>160655</xdr:rowOff>
    </xdr:from>
    <xdr:to>
      <xdr:col>5</xdr:col>
      <xdr:colOff>495300</xdr:colOff>
      <xdr:row>46</xdr:row>
      <xdr:rowOff>151130</xdr:rowOff>
    </xdr:to>
    <xdr:graphicFrame>
      <xdr:nvGraphicFramePr>
        <xdr:cNvPr id="6" name="图表 5"/>
        <xdr:cNvGraphicFramePr/>
      </xdr:nvGraphicFramePr>
      <xdr:xfrm>
        <a:off x="85725" y="4856480"/>
        <a:ext cx="48304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29</xdr:row>
      <xdr:rowOff>36830</xdr:rowOff>
    </xdr:from>
    <xdr:to>
      <xdr:col>13</xdr:col>
      <xdr:colOff>318770</xdr:colOff>
      <xdr:row>46</xdr:row>
      <xdr:rowOff>27305</xdr:rowOff>
    </xdr:to>
    <xdr:graphicFrame>
      <xdr:nvGraphicFramePr>
        <xdr:cNvPr id="7" name="图表 6"/>
        <xdr:cNvGraphicFramePr/>
      </xdr:nvGraphicFramePr>
      <xdr:xfrm>
        <a:off x="5887720" y="4732655"/>
        <a:ext cx="48304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workbookViewId="0">
      <selection activeCell="B5" sqref="B5"/>
    </sheetView>
  </sheetViews>
  <sheetFormatPr defaultColWidth="14" defaultRowHeight="12.75" outlineLevelCol="4"/>
  <cols>
    <col min="1" max="1" width="30" customWidth="1"/>
    <col min="2" max="5" width="13" customWidth="1"/>
    <col min="6" max="20" width="11" customWidth="1"/>
  </cols>
  <sheetData>
    <row r="1" ht="19" customHeight="1" spans="1:5">
      <c r="A1" s="70"/>
      <c r="B1" s="71" t="s">
        <v>0</v>
      </c>
      <c r="C1" s="71" t="s">
        <v>1</v>
      </c>
      <c r="D1" s="71" t="s">
        <v>2</v>
      </c>
      <c r="E1" s="72" t="s">
        <v>3</v>
      </c>
    </row>
    <row r="2" ht="19" customHeight="1" spans="1:5">
      <c r="A2" s="73" t="s">
        <v>4</v>
      </c>
      <c r="B2" s="74">
        <f>SUM(C2:E2)</f>
        <v>73367.3532331493</v>
      </c>
      <c r="C2" s="75">
        <f>'2025数据'!D4</f>
        <v>25825.7541866589</v>
      </c>
      <c r="D2" s="75">
        <f>'2025数据'!E4</f>
        <v>20298.0769814904</v>
      </c>
      <c r="E2" s="76">
        <f>'2025数据'!F4</f>
        <v>27243.522065</v>
      </c>
    </row>
    <row r="3" ht="21" customHeight="1" spans="1:5">
      <c r="A3" s="77" t="s">
        <v>5</v>
      </c>
      <c r="B3" s="78">
        <f>SUM(C3:E3)</f>
        <v>62546.6221811667</v>
      </c>
      <c r="C3" s="79">
        <v>28412.6338800065</v>
      </c>
      <c r="D3" s="79">
        <v>13508.4163391568</v>
      </c>
      <c r="E3" s="80">
        <v>20625.5719620034</v>
      </c>
    </row>
    <row r="4" ht="17" customHeight="1" spans="1:5">
      <c r="B4" s="81"/>
      <c r="C4" s="81"/>
      <c r="D4" s="81"/>
      <c r="E4" s="81"/>
    </row>
    <row r="5" ht="19" customHeight="1" spans="1:5">
      <c r="B5" s="81"/>
      <c r="C5" s="81"/>
      <c r="D5" s="81"/>
      <c r="E5" s="81"/>
    </row>
    <row r="6" ht="19" customHeight="1" spans="1:5">
      <c r="A6" s="70"/>
      <c r="B6" s="71" t="s">
        <v>6</v>
      </c>
      <c r="C6" s="71" t="s">
        <v>7</v>
      </c>
      <c r="D6" s="71" t="s">
        <v>8</v>
      </c>
      <c r="E6" s="72" t="s">
        <v>9</v>
      </c>
    </row>
    <row r="7" ht="19" customHeight="1" spans="1:5">
      <c r="A7" s="73" t="s">
        <v>10</v>
      </c>
      <c r="B7" s="74" t="e">
        <f>SUM(C7:E7)</f>
        <v>#REF!</v>
      </c>
      <c r="C7" s="75">
        <f>'2025数据'!G4</f>
        <v>19367.9181868762</v>
      </c>
      <c r="D7" s="75">
        <f>'2025数据'!H4</f>
        <v>25916.6114493017</v>
      </c>
      <c r="E7" s="76" t="e">
        <f>'2025数据'!#REF!</f>
        <v>#REF!</v>
      </c>
    </row>
    <row r="8" ht="21" customHeight="1" spans="1:5">
      <c r="A8" s="77" t="s">
        <v>5</v>
      </c>
      <c r="B8" s="78">
        <f>SUM(C8:E8)</f>
        <v>55199.4863332049</v>
      </c>
      <c r="C8" s="79">
        <v>16661.0114158788</v>
      </c>
      <c r="D8" s="79">
        <v>18784.7333821504</v>
      </c>
      <c r="E8" s="80">
        <v>19753.7415351757</v>
      </c>
    </row>
    <row r="9" ht="17" customHeight="1" spans="1:5">
      <c r="B9" s="81"/>
      <c r="C9" s="81"/>
      <c r="D9" s="81"/>
      <c r="E9" s="81"/>
    </row>
    <row r="10" ht="19" customHeight="1"/>
    <row r="11" ht="19" customHeight="1" spans="1:5">
      <c r="A11" s="70"/>
      <c r="B11" s="71" t="s">
        <v>11</v>
      </c>
      <c r="C11" s="71" t="s">
        <v>12</v>
      </c>
      <c r="D11" s="71" t="s">
        <v>13</v>
      </c>
      <c r="E11" s="72" t="s">
        <v>14</v>
      </c>
    </row>
    <row r="12" ht="19" customHeight="1" spans="1:5">
      <c r="A12" s="73" t="s">
        <v>4</v>
      </c>
      <c r="B12" s="74" t="e">
        <f>SUM(C12:E12)</f>
        <v>#REF!</v>
      </c>
      <c r="C12" s="75" t="e">
        <f>'2025数据'!#REF!</f>
        <v>#REF!</v>
      </c>
      <c r="D12" s="75" t="e">
        <f>'2025数据'!#REF!</f>
        <v>#REF!</v>
      </c>
      <c r="E12" s="76" t="e">
        <f>'2025数据'!#REF!</f>
        <v>#REF!</v>
      </c>
    </row>
    <row r="13" ht="21" customHeight="1" spans="1:5">
      <c r="A13" s="77" t="s">
        <v>5</v>
      </c>
      <c r="B13" s="78">
        <f>SUM(C13:E13)</f>
        <v>84842.7961793767</v>
      </c>
      <c r="C13" s="79">
        <v>25131.8414441664</v>
      </c>
      <c r="D13" s="79">
        <v>34901.7889830483</v>
      </c>
      <c r="E13" s="80">
        <v>24809.165752162</v>
      </c>
    </row>
    <row r="14" ht="17" customHeight="1"/>
    <row r="15" ht="17" customHeight="1"/>
    <row r="16" ht="17" customHeight="1"/>
    <row r="17" ht="17" customHeight="1"/>
    <row r="18" ht="17" customHeight="1"/>
    <row r="19" ht="17" customHeight="1"/>
    <row r="20" ht="17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67"/>
  <sheetViews>
    <sheetView showGridLines="0" tabSelected="1" topLeftCell="A49" workbookViewId="0">
      <pane xSplit="2" topLeftCell="C1" activePane="topRight" state="frozen"/>
      <selection/>
      <selection pane="topRight" activeCell="C5" sqref="C5:C7"/>
    </sheetView>
  </sheetViews>
  <sheetFormatPr defaultColWidth="14" defaultRowHeight="12.75"/>
  <cols>
    <col min="1" max="1" width="8" hidden="1" customWidth="1"/>
    <col min="2" max="15" width="13" customWidth="1"/>
    <col min="16" max="16" width="12" customWidth="1"/>
    <col min="17" max="17" width="11" customWidth="1"/>
    <col min="18" max="18" width="12" customWidth="1"/>
    <col min="19" max="21" width="11" customWidth="1"/>
  </cols>
  <sheetData>
    <row r="1" ht="17" customHeight="1" spans="1:21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ht="17" customHeight="1" spans="1:21">
      <c r="A2" s="33"/>
      <c r="B2" s="34" t="s">
        <v>15</v>
      </c>
      <c r="C2" s="34" t="s">
        <v>16</v>
      </c>
      <c r="D2" s="34" t="s">
        <v>17</v>
      </c>
      <c r="E2" s="34" t="s">
        <v>18</v>
      </c>
      <c r="F2" s="34" t="s">
        <v>19</v>
      </c>
      <c r="G2" s="34" t="s">
        <v>20</v>
      </c>
      <c r="H2" s="34" t="s">
        <v>21</v>
      </c>
      <c r="I2" s="34" t="s">
        <v>22</v>
      </c>
      <c r="J2" s="34" t="s">
        <v>23</v>
      </c>
      <c r="K2" s="34" t="s">
        <v>24</v>
      </c>
      <c r="L2" s="34" t="s">
        <v>25</v>
      </c>
      <c r="M2" s="34" t="s">
        <v>26</v>
      </c>
      <c r="N2" s="34" t="s">
        <v>27</v>
      </c>
      <c r="O2" s="34" t="s">
        <v>28</v>
      </c>
      <c r="P2" s="35"/>
    </row>
    <row r="3" ht="17" customHeight="1" spans="1:21">
      <c r="A3" s="33"/>
      <c r="B3" s="34"/>
      <c r="C3" s="36" t="s">
        <v>29</v>
      </c>
      <c r="D3" s="36" t="s">
        <v>30</v>
      </c>
      <c r="E3" s="36" t="s">
        <v>30</v>
      </c>
      <c r="F3" s="36" t="s">
        <v>30</v>
      </c>
      <c r="G3" s="36" t="s">
        <v>30</v>
      </c>
      <c r="H3" s="36" t="s">
        <v>30</v>
      </c>
      <c r="I3" s="36" t="s">
        <v>30</v>
      </c>
      <c r="J3" s="36" t="s">
        <v>30</v>
      </c>
      <c r="K3" s="36" t="s">
        <v>30</v>
      </c>
      <c r="L3" s="36" t="s">
        <v>30</v>
      </c>
      <c r="M3" s="36" t="s">
        <v>30</v>
      </c>
      <c r="N3" s="36" t="s">
        <v>30</v>
      </c>
      <c r="O3" s="36" t="s">
        <v>30</v>
      </c>
      <c r="P3" s="37"/>
      <c r="Q3" s="38"/>
      <c r="R3" s="38"/>
      <c r="S3" s="35" t="s">
        <v>31</v>
      </c>
      <c r="T3" s="35" t="s">
        <v>32</v>
      </c>
      <c r="U3" s="39"/>
    </row>
    <row r="4" ht="17" customHeight="1" spans="1:21">
      <c r="A4" s="33"/>
      <c r="B4" s="40" t="s">
        <v>33</v>
      </c>
      <c r="C4" s="41">
        <f>SUM(C5:C44)</f>
        <v>417096.721015876</v>
      </c>
      <c r="D4" s="41">
        <f t="shared" ref="C4:T4" si="0">SUM(D5:D44)</f>
        <v>25825.7541866589</v>
      </c>
      <c r="E4" s="41">
        <f t="shared" si="0"/>
        <v>20298.0769814904</v>
      </c>
      <c r="F4" s="41">
        <f t="shared" si="0"/>
        <v>27243.522065</v>
      </c>
      <c r="G4" s="41">
        <f t="shared" si="0"/>
        <v>19367.9181868762</v>
      </c>
      <c r="H4" s="41">
        <f t="shared" si="0"/>
        <v>25916.6114493017</v>
      </c>
      <c r="I4" s="41">
        <f t="shared" si="0"/>
        <v>29144.0987951939</v>
      </c>
      <c r="J4" s="41">
        <f t="shared" si="0"/>
        <v>47587.7656015318</v>
      </c>
      <c r="K4" s="41">
        <f t="shared" si="0"/>
        <v>54315.5519310678</v>
      </c>
      <c r="L4" s="41">
        <f t="shared" si="0"/>
        <v>70369.9511841209</v>
      </c>
      <c r="M4" s="41">
        <f t="shared" si="0"/>
        <v>32761.9571814926</v>
      </c>
      <c r="N4" s="41">
        <f t="shared" si="0"/>
        <v>31017.2762172687</v>
      </c>
      <c r="O4" s="41">
        <f t="shared" si="0"/>
        <v>33248.237235873</v>
      </c>
      <c r="P4" s="41"/>
      <c r="Q4" s="20"/>
      <c r="R4" s="20"/>
      <c r="S4" s="35"/>
      <c r="T4" s="35"/>
    </row>
    <row r="5" ht="17" customHeight="1" outlineLevel="1" spans="1:21">
      <c r="A5" s="33" t="s">
        <v>34</v>
      </c>
      <c r="B5" s="42" t="s">
        <v>35</v>
      </c>
      <c r="C5" s="43">
        <f>SUM(D5:O5)</f>
        <v>46476.7682517883</v>
      </c>
      <c r="D5" s="43">
        <v>5561.0165954</v>
      </c>
      <c r="E5" s="43">
        <v>3220.4209824</v>
      </c>
      <c r="F5" s="43">
        <v>3883.757098</v>
      </c>
      <c r="G5" s="43">
        <v>3271.9787136</v>
      </c>
      <c r="H5" s="43">
        <v>3559.267788165</v>
      </c>
      <c r="I5" s="43">
        <v>2596.691366612</v>
      </c>
      <c r="J5" s="43">
        <v>3185.5075133247</v>
      </c>
      <c r="K5" s="43">
        <v>2427.4487018496</v>
      </c>
      <c r="L5" s="43">
        <v>3569.881427584</v>
      </c>
      <c r="M5" s="43">
        <v>4004.00198331</v>
      </c>
      <c r="N5" s="43">
        <v>5518.03855658039</v>
      </c>
      <c r="O5" s="43">
        <v>5678.75752496262</v>
      </c>
      <c r="P5" s="44"/>
      <c r="Q5" s="20"/>
      <c r="R5" s="20"/>
      <c r="S5" s="45">
        <f>C5/$C$4</f>
        <v>0.111429234299876</v>
      </c>
    </row>
    <row r="6" ht="17" customHeight="1" outlineLevel="1" spans="1:21">
      <c r="A6" s="33" t="s">
        <v>36</v>
      </c>
      <c r="B6" s="42" t="s">
        <v>37</v>
      </c>
      <c r="C6" s="43">
        <f t="shared" ref="C6:C42" si="1">SUM(D6:O6)</f>
        <v>107762.610612024</v>
      </c>
      <c r="D6" s="43">
        <v>6745.66043138278</v>
      </c>
      <c r="E6" s="43">
        <v>4867.13225130283</v>
      </c>
      <c r="F6" s="43">
        <v>6006.192244</v>
      </c>
      <c r="G6" s="43">
        <v>5213.57145223552</v>
      </c>
      <c r="H6" s="43">
        <v>8344.74597023292</v>
      </c>
      <c r="I6" s="43">
        <v>8620.97098735186</v>
      </c>
      <c r="J6" s="43">
        <v>9882.29904365265</v>
      </c>
      <c r="K6" s="43">
        <v>9594.28502768859</v>
      </c>
      <c r="L6" s="43">
        <v>15052.68498669</v>
      </c>
      <c r="M6" s="43">
        <v>9604.81491129124</v>
      </c>
      <c r="N6" s="43">
        <v>11152.4641593084</v>
      </c>
      <c r="O6" s="43">
        <v>12677.7891468867</v>
      </c>
      <c r="P6" s="44"/>
      <c r="Q6" s="20"/>
      <c r="R6" s="20"/>
      <c r="S6" s="45">
        <f t="shared" ref="S6:S43" si="2">C6/$C$4</f>
        <v>0.25836360053265</v>
      </c>
      <c r="T6" s="46"/>
    </row>
    <row r="7" ht="17" customHeight="1" outlineLevel="1" spans="1:21">
      <c r="A7" s="33" t="s">
        <v>38</v>
      </c>
      <c r="B7" s="47" t="s">
        <v>39</v>
      </c>
      <c r="C7" s="48">
        <f t="shared" si="1"/>
        <v>30597.2591885234</v>
      </c>
      <c r="D7" s="48">
        <v>1517.5824</v>
      </c>
      <c r="E7" s="49">
        <v>1482.1056</v>
      </c>
      <c r="F7" s="48">
        <v>1416.80268</v>
      </c>
      <c r="G7" s="48">
        <v>2879.9263152</v>
      </c>
      <c r="H7" s="48">
        <v>3111.8079884625</v>
      </c>
      <c r="I7" s="48">
        <v>2366.4396714784</v>
      </c>
      <c r="J7" s="48">
        <v>2048.5767815565</v>
      </c>
      <c r="K7" s="48">
        <v>5414.0760081408</v>
      </c>
      <c r="L7" s="48">
        <v>7041.431184528</v>
      </c>
      <c r="M7" s="48">
        <v>1116.198745125</v>
      </c>
      <c r="N7" s="48">
        <v>1405.6306466368</v>
      </c>
      <c r="O7" s="48">
        <v>796.6811673954</v>
      </c>
      <c r="P7" s="44"/>
      <c r="Q7" s="44"/>
      <c r="R7" s="20"/>
      <c r="S7" s="45">
        <f t="shared" si="2"/>
        <v>0.0733577073298515</v>
      </c>
      <c r="T7" s="50">
        <f>C7/$C$64</f>
        <v>0.3375151110531</v>
      </c>
    </row>
    <row r="8" ht="17" customHeight="1" outlineLevel="1" spans="1:21">
      <c r="A8" s="33" t="s">
        <v>40</v>
      </c>
      <c r="B8" s="47" t="s">
        <v>41</v>
      </c>
      <c r="C8" s="48">
        <f t="shared" si="1"/>
        <v>1016.64</v>
      </c>
      <c r="D8" s="49"/>
      <c r="E8" s="49"/>
      <c r="F8" s="49">
        <v>662.4</v>
      </c>
      <c r="G8" s="49">
        <v>354.24</v>
      </c>
      <c r="H8" s="49"/>
      <c r="I8" s="49"/>
      <c r="J8" s="49"/>
      <c r="K8" s="49"/>
      <c r="L8" s="49"/>
      <c r="M8" s="49"/>
      <c r="N8" s="49"/>
      <c r="O8" s="49"/>
      <c r="P8" s="44"/>
      <c r="Q8" s="20"/>
      <c r="R8" s="20"/>
      <c r="S8" s="45">
        <f t="shared" si="2"/>
        <v>0.00243742026435471</v>
      </c>
      <c r="T8" s="50">
        <f t="shared" ref="T8:T27" si="3">C8/$C$64</f>
        <v>0.0112144476858805</v>
      </c>
    </row>
    <row r="9" ht="17" customHeight="1" outlineLevel="1" spans="1:21">
      <c r="A9" s="33" t="s">
        <v>42</v>
      </c>
      <c r="B9" s="47" t="s">
        <v>43</v>
      </c>
      <c r="C9" s="48">
        <f t="shared" si="1"/>
        <v>13164.285783</v>
      </c>
      <c r="D9" s="49">
        <v>1091.506572</v>
      </c>
      <c r="E9" s="49"/>
      <c r="F9" s="49">
        <v>1000.560096</v>
      </c>
      <c r="G9" s="49"/>
      <c r="H9" s="49">
        <v>1481.8425</v>
      </c>
      <c r="I9" s="49">
        <v>1090.2934</v>
      </c>
      <c r="J9" s="49">
        <v>2576.004375</v>
      </c>
      <c r="K9" s="49">
        <v>736.032</v>
      </c>
      <c r="L9" s="49">
        <v>380.54976</v>
      </c>
      <c r="M9" s="49">
        <v>1902.375</v>
      </c>
      <c r="N9" s="49">
        <v>1735.55606</v>
      </c>
      <c r="O9" s="49">
        <v>1169.56602</v>
      </c>
      <c r="P9" s="44"/>
      <c r="Q9" s="20"/>
      <c r="R9" s="20"/>
      <c r="S9" s="45">
        <f t="shared" si="2"/>
        <v>0.0315617100775504</v>
      </c>
      <c r="T9" s="50">
        <f t="shared" si="3"/>
        <v>0.145213836004322</v>
      </c>
    </row>
    <row r="10" ht="17" customHeight="1" outlineLevel="1" spans="1:21">
      <c r="A10" s="33" t="s">
        <v>44</v>
      </c>
      <c r="B10" s="49" t="s">
        <v>45</v>
      </c>
      <c r="C10" s="48">
        <f t="shared" si="1"/>
        <v>86.086</v>
      </c>
      <c r="D10" s="49">
        <v>42.742</v>
      </c>
      <c r="E10" s="49">
        <v>43.344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4"/>
      <c r="Q10" s="20"/>
      <c r="R10" s="20"/>
      <c r="S10" s="45">
        <f t="shared" si="2"/>
        <v>0.000206393375115321</v>
      </c>
      <c r="T10" s="50">
        <f t="shared" si="3"/>
        <v>0.000949605507836316</v>
      </c>
    </row>
    <row r="11" ht="17" customHeight="1" outlineLevel="1" spans="1:21">
      <c r="A11" s="33" t="s">
        <v>46</v>
      </c>
      <c r="B11" s="49" t="s">
        <v>47</v>
      </c>
      <c r="C11" s="48">
        <f t="shared" si="1"/>
        <v>2625.29785</v>
      </c>
      <c r="D11" s="49">
        <v>644.68</v>
      </c>
      <c r="E11" s="49"/>
      <c r="F11" s="49">
        <v>620.1</v>
      </c>
      <c r="G11" s="49">
        <v>388.8</v>
      </c>
      <c r="H11" s="49">
        <v>292.75425</v>
      </c>
      <c r="I11" s="49">
        <v>678.9636</v>
      </c>
      <c r="J11" s="49"/>
      <c r="K11" s="49"/>
      <c r="L11" s="49"/>
      <c r="M11" s="49"/>
      <c r="N11" s="49"/>
      <c r="O11" s="49"/>
      <c r="P11" s="44"/>
      <c r="Q11" s="20"/>
      <c r="R11" s="20"/>
      <c r="S11" s="45">
        <f t="shared" si="2"/>
        <v>0.00629421838562013</v>
      </c>
      <c r="T11" s="50">
        <f t="shared" si="3"/>
        <v>0.0289593812939484</v>
      </c>
    </row>
    <row r="12" ht="17" customHeight="1" outlineLevel="1" spans="1:21">
      <c r="A12" s="33"/>
      <c r="B12" s="49" t="s">
        <v>48</v>
      </c>
      <c r="C12" s="48">
        <f t="shared" si="1"/>
        <v>0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4"/>
      <c r="Q12" s="20"/>
      <c r="R12" s="20"/>
      <c r="S12" s="45">
        <f t="shared" si="2"/>
        <v>0</v>
      </c>
      <c r="T12" s="50">
        <f t="shared" si="3"/>
        <v>0</v>
      </c>
    </row>
    <row r="13" ht="17" customHeight="1" outlineLevel="1" spans="1:21">
      <c r="A13" s="33"/>
      <c r="B13" s="49" t="s">
        <v>49</v>
      </c>
      <c r="C13" s="48">
        <f t="shared" si="1"/>
        <v>3533.5657856</v>
      </c>
      <c r="D13" s="49">
        <v>1083.2825</v>
      </c>
      <c r="E13" s="49"/>
      <c r="F13" s="49">
        <v>964.764</v>
      </c>
      <c r="G13" s="49"/>
      <c r="H13" s="49">
        <v>174.0984225</v>
      </c>
      <c r="I13" s="49">
        <v>440.5503816</v>
      </c>
      <c r="J13" s="49">
        <v>110.0986065</v>
      </c>
      <c r="K13" s="49"/>
      <c r="L13" s="49">
        <v>0</v>
      </c>
      <c r="M13" s="49">
        <v>760.771875</v>
      </c>
      <c r="N13" s="49"/>
      <c r="O13" s="49"/>
      <c r="P13" s="44"/>
      <c r="Q13" s="20"/>
      <c r="R13" s="20"/>
      <c r="S13" s="45">
        <f t="shared" si="2"/>
        <v>0.0084718138684804</v>
      </c>
      <c r="T13" s="50">
        <f t="shared" si="3"/>
        <v>0.0389783882664744</v>
      </c>
    </row>
    <row r="14" ht="17" customHeight="1" outlineLevel="1" spans="1:21">
      <c r="A14" s="33"/>
      <c r="B14" s="49" t="s">
        <v>50</v>
      </c>
      <c r="C14" s="48">
        <f t="shared" si="1"/>
        <v>2588.17574118</v>
      </c>
      <c r="D14" s="49">
        <v>396.4995</v>
      </c>
      <c r="E14" s="49"/>
      <c r="F14" s="49"/>
      <c r="G14" s="49">
        <v>70.956</v>
      </c>
      <c r="H14" s="49">
        <v>329.5241838</v>
      </c>
      <c r="I14" s="49">
        <v>368.40349392</v>
      </c>
      <c r="J14" s="49"/>
      <c r="K14" s="49"/>
      <c r="L14" s="49">
        <v>1214.41980096</v>
      </c>
      <c r="M14" s="49">
        <v>208.3727625</v>
      </c>
      <c r="N14" s="49"/>
      <c r="O14" s="49"/>
      <c r="P14" s="44"/>
      <c r="Q14" s="20"/>
      <c r="R14" s="20"/>
      <c r="S14" s="45">
        <f t="shared" si="2"/>
        <v>0.00620521718530001</v>
      </c>
      <c r="T14" s="50">
        <f t="shared" si="3"/>
        <v>0.0285498912607493</v>
      </c>
    </row>
    <row r="15" ht="17" customHeight="1" outlineLevel="1" spans="1:21">
      <c r="A15" s="33"/>
      <c r="B15" s="49" t="s">
        <v>51</v>
      </c>
      <c r="C15" s="48">
        <f t="shared" si="1"/>
        <v>25303.4717564739</v>
      </c>
      <c r="D15" s="49"/>
      <c r="E15" s="49"/>
      <c r="F15" s="49"/>
      <c r="G15" s="49"/>
      <c r="H15" s="49">
        <v>47.62077972</v>
      </c>
      <c r="I15" s="49">
        <v>2460.8020541608</v>
      </c>
      <c r="J15" s="49">
        <v>6751.6413847335</v>
      </c>
      <c r="K15" s="49">
        <v>2741.1728272896</v>
      </c>
      <c r="L15" s="49">
        <v>9756.73437923</v>
      </c>
      <c r="M15" s="49">
        <v>2872.35903234</v>
      </c>
      <c r="N15" s="49"/>
      <c r="O15" s="49">
        <v>673.141299</v>
      </c>
      <c r="P15" s="44"/>
      <c r="Q15" s="20"/>
      <c r="R15" s="20"/>
      <c r="S15" s="45">
        <f t="shared" si="2"/>
        <v>0.060665717282181</v>
      </c>
      <c r="T15" s="50">
        <f t="shared" si="3"/>
        <v>0.279119905063869</v>
      </c>
    </row>
    <row r="16" ht="17" customHeight="1" outlineLevel="1" spans="1:21">
      <c r="A16" s="33"/>
      <c r="B16" s="49" t="s">
        <v>52</v>
      </c>
      <c r="C16" s="48">
        <f t="shared" si="1"/>
        <v>2172.57759</v>
      </c>
      <c r="D16" s="49"/>
      <c r="E16" s="49"/>
      <c r="F16" s="49"/>
      <c r="G16" s="49">
        <v>332.28</v>
      </c>
      <c r="H16" s="49"/>
      <c r="I16" s="49">
        <v>330.5008</v>
      </c>
      <c r="J16" s="49">
        <v>628.29375</v>
      </c>
      <c r="K16" s="49">
        <v>277.89696</v>
      </c>
      <c r="L16" s="49">
        <v>603.60608</v>
      </c>
      <c r="M16" s="49"/>
      <c r="N16" s="49"/>
      <c r="O16" s="49"/>
      <c r="P16" s="44"/>
      <c r="Q16" s="20"/>
      <c r="R16" s="20"/>
      <c r="S16" s="45">
        <f t="shared" si="2"/>
        <v>0.00520881004460666</v>
      </c>
      <c r="T16" s="50">
        <f t="shared" si="3"/>
        <v>0.0239654722680314</v>
      </c>
    </row>
    <row r="17" ht="17" customHeight="1" outlineLevel="1" spans="1:20">
      <c r="A17" s="33"/>
      <c r="B17" s="49" t="s">
        <v>53</v>
      </c>
      <c r="C17" s="48">
        <f t="shared" si="1"/>
        <v>164.29968</v>
      </c>
      <c r="D17" s="49"/>
      <c r="E17" s="49"/>
      <c r="F17" s="49"/>
      <c r="G17" s="49">
        <v>164.29968</v>
      </c>
      <c r="H17" s="49"/>
      <c r="I17" s="49"/>
      <c r="J17" s="49"/>
      <c r="K17" s="49"/>
      <c r="L17" s="49"/>
      <c r="M17" s="49"/>
      <c r="N17" s="49"/>
      <c r="O17" s="49"/>
      <c r="P17" s="44"/>
      <c r="Q17" s="20"/>
      <c r="R17" s="20"/>
      <c r="S17" s="45">
        <f t="shared" si="2"/>
        <v>0.000393912662750821</v>
      </c>
      <c r="T17" s="50">
        <f t="shared" si="3"/>
        <v>0.00181237229124067</v>
      </c>
    </row>
    <row r="18" ht="17" customHeight="1" outlineLevel="1" spans="1:20">
      <c r="A18" s="33"/>
      <c r="B18" s="49" t="s">
        <v>54</v>
      </c>
      <c r="C18" s="48">
        <f t="shared" si="1"/>
        <v>3060.6260492</v>
      </c>
      <c r="D18" s="49"/>
      <c r="E18" s="49">
        <v>133.488</v>
      </c>
      <c r="F18" s="49">
        <v>311.472</v>
      </c>
      <c r="G18" s="49"/>
      <c r="H18" s="49">
        <v>166.54464</v>
      </c>
      <c r="I18" s="49">
        <v>7.687736</v>
      </c>
      <c r="J18" s="49"/>
      <c r="K18" s="49">
        <v>1239.6358656</v>
      </c>
      <c r="L18" s="49">
        <v>741.6729536</v>
      </c>
      <c r="M18" s="49"/>
      <c r="N18" s="49">
        <v>153.166552</v>
      </c>
      <c r="O18" s="49">
        <v>306.958302</v>
      </c>
      <c r="P18" s="44"/>
      <c r="Q18" s="51"/>
      <c r="R18" s="20"/>
      <c r="S18" s="45">
        <f t="shared" si="2"/>
        <v>0.0073379288183939</v>
      </c>
      <c r="T18" s="50">
        <f t="shared" si="3"/>
        <v>0.0337614403474156</v>
      </c>
    </row>
    <row r="19" ht="17" customHeight="1" outlineLevel="1" spans="1:20">
      <c r="A19" s="33" t="s">
        <v>55</v>
      </c>
      <c r="B19" s="47" t="s">
        <v>56</v>
      </c>
      <c r="C19" s="48">
        <f t="shared" si="1"/>
        <v>1065.384764</v>
      </c>
      <c r="D19" s="48">
        <v>665.4688</v>
      </c>
      <c r="E19" s="52"/>
      <c r="F19" s="48"/>
      <c r="G19" s="52"/>
      <c r="H19" s="49"/>
      <c r="I19" s="49"/>
      <c r="J19" s="49"/>
      <c r="K19" s="49"/>
      <c r="L19" s="49"/>
      <c r="M19" s="49"/>
      <c r="N19" s="49">
        <v>200.906776</v>
      </c>
      <c r="O19" s="49">
        <v>199.009188</v>
      </c>
      <c r="P19" s="44"/>
      <c r="Q19" s="51"/>
      <c r="R19" s="20"/>
      <c r="S19" s="45">
        <f t="shared" si="2"/>
        <v>0.00255428707616104</v>
      </c>
      <c r="T19" s="50">
        <f t="shared" si="3"/>
        <v>0.0117521459919069</v>
      </c>
    </row>
    <row r="20" ht="17" customHeight="1" outlineLevel="1" spans="1:20">
      <c r="A20" s="33"/>
      <c r="B20" s="49" t="s">
        <v>57</v>
      </c>
      <c r="C20" s="48">
        <f t="shared" si="1"/>
        <v>2138.4286465</v>
      </c>
      <c r="D20" s="49"/>
      <c r="E20" s="49"/>
      <c r="F20" s="49"/>
      <c r="G20" s="49"/>
      <c r="H20" s="49">
        <v>355.8951975</v>
      </c>
      <c r="I20" s="49"/>
      <c r="J20" s="49">
        <v>285.424875</v>
      </c>
      <c r="K20" s="49"/>
      <c r="L20" s="49">
        <v>353.46944</v>
      </c>
      <c r="M20" s="49"/>
      <c r="N20" s="49">
        <v>279.90548</v>
      </c>
      <c r="O20" s="49">
        <v>863.733654</v>
      </c>
      <c r="P20" s="44"/>
      <c r="Q20" s="20"/>
      <c r="R20" s="20"/>
      <c r="S20" s="45">
        <f t="shared" si="2"/>
        <v>0.00512693708378159</v>
      </c>
      <c r="T20" s="50">
        <f t="shared" si="3"/>
        <v>0.0235887789051804</v>
      </c>
    </row>
    <row r="21" ht="17" customHeight="1" outlineLevel="1" spans="1:20">
      <c r="A21" s="33"/>
      <c r="B21" s="49" t="s">
        <v>58</v>
      </c>
      <c r="C21" s="48">
        <f t="shared" si="1"/>
        <v>659.26976</v>
      </c>
      <c r="D21" s="49"/>
      <c r="E21" s="49"/>
      <c r="F21" s="49"/>
      <c r="G21" s="49"/>
      <c r="H21" s="49">
        <v>0</v>
      </c>
      <c r="I21" s="49"/>
      <c r="J21" s="49"/>
      <c r="K21" s="49"/>
      <c r="L21" s="49"/>
      <c r="M21" s="49"/>
      <c r="N21" s="49">
        <v>659.26976</v>
      </c>
      <c r="O21" s="49">
        <v>0</v>
      </c>
      <c r="P21" s="44"/>
      <c r="Q21" s="20"/>
      <c r="R21" s="20"/>
      <c r="S21" s="45">
        <f t="shared" si="2"/>
        <v>0.00158061602209264</v>
      </c>
      <c r="T21" s="50">
        <f t="shared" si="3"/>
        <v>0.00727233458687738</v>
      </c>
    </row>
    <row r="22" ht="17" customHeight="1" outlineLevel="1" spans="1:20">
      <c r="A22" s="33"/>
      <c r="B22" s="49" t="s">
        <v>59</v>
      </c>
      <c r="C22" s="48">
        <f t="shared" si="1"/>
        <v>161.8533</v>
      </c>
      <c r="D22" s="49"/>
      <c r="E22" s="49"/>
      <c r="F22" s="49"/>
      <c r="G22" s="49"/>
      <c r="H22" s="49">
        <v>0</v>
      </c>
      <c r="I22" s="49"/>
      <c r="J22" s="49"/>
      <c r="K22" s="49"/>
      <c r="L22" s="49"/>
      <c r="M22" s="49"/>
      <c r="N22" s="49"/>
      <c r="O22" s="49">
        <v>161.8533</v>
      </c>
      <c r="P22" s="44"/>
      <c r="Q22" s="20"/>
      <c r="R22" s="20"/>
      <c r="S22" s="45">
        <f t="shared" si="2"/>
        <v>0.000388047404462427</v>
      </c>
      <c r="T22" s="50">
        <f t="shared" si="3"/>
        <v>0.00178538653371609</v>
      </c>
    </row>
    <row r="23" ht="17" customHeight="1" outlineLevel="1" spans="1:20">
      <c r="A23" s="33"/>
      <c r="B23" s="49" t="s">
        <v>60</v>
      </c>
      <c r="C23" s="48">
        <f t="shared" si="1"/>
        <v>0</v>
      </c>
      <c r="D23" s="49"/>
      <c r="E23" s="49"/>
      <c r="F23" s="49"/>
      <c r="G23" s="49"/>
      <c r="H23" s="49">
        <v>0</v>
      </c>
      <c r="I23" s="49"/>
      <c r="J23" s="49"/>
      <c r="K23" s="49"/>
      <c r="L23" s="49"/>
      <c r="M23" s="49"/>
      <c r="N23" s="49"/>
      <c r="O23" s="49"/>
      <c r="P23" s="44"/>
      <c r="Q23" s="20"/>
      <c r="R23" s="20"/>
      <c r="S23" s="45">
        <f t="shared" si="2"/>
        <v>0</v>
      </c>
      <c r="T23" s="50">
        <f t="shared" si="3"/>
        <v>0</v>
      </c>
    </row>
    <row r="24" ht="17" customHeight="1" outlineLevel="1" spans="1:20">
      <c r="A24" s="33"/>
      <c r="B24" s="49" t="s">
        <v>61</v>
      </c>
      <c r="C24" s="48">
        <f t="shared" si="1"/>
        <v>156.978</v>
      </c>
      <c r="D24" s="49"/>
      <c r="E24" s="49"/>
      <c r="F24" s="49"/>
      <c r="G24" s="49"/>
      <c r="H24" s="49">
        <v>0</v>
      </c>
      <c r="I24" s="49"/>
      <c r="J24" s="49"/>
      <c r="K24" s="49"/>
      <c r="L24" s="49"/>
      <c r="M24" s="49">
        <v>156.978</v>
      </c>
      <c r="N24" s="49"/>
      <c r="O24" s="49"/>
      <c r="P24" s="44"/>
      <c r="Q24" s="20"/>
      <c r="R24" s="20"/>
      <c r="S24" s="45">
        <f t="shared" si="2"/>
        <v>0.000376358748679841</v>
      </c>
      <c r="T24" s="50">
        <f t="shared" si="3"/>
        <v>0.00173160761806948</v>
      </c>
    </row>
    <row r="25" ht="17" customHeight="1" outlineLevel="1" spans="1:20">
      <c r="A25" s="33"/>
      <c r="B25" s="49" t="s">
        <v>62</v>
      </c>
      <c r="C25" s="48">
        <f t="shared" si="1"/>
        <v>375.73944</v>
      </c>
      <c r="D25" s="49"/>
      <c r="E25" s="49"/>
      <c r="F25" s="49"/>
      <c r="G25" s="49"/>
      <c r="H25" s="49">
        <v>0</v>
      </c>
      <c r="I25" s="49"/>
      <c r="J25" s="49"/>
      <c r="K25" s="49"/>
      <c r="L25" s="49">
        <v>375.73944</v>
      </c>
      <c r="M25" s="49"/>
      <c r="N25" s="49"/>
      <c r="O25" s="49"/>
      <c r="P25" s="44"/>
      <c r="Q25" s="20"/>
      <c r="R25" s="20"/>
      <c r="S25" s="45">
        <f t="shared" si="2"/>
        <v>0.00090084486659318</v>
      </c>
      <c r="T25" s="50">
        <f t="shared" si="3"/>
        <v>0.00414474179001618</v>
      </c>
    </row>
    <row r="26" ht="17" customHeight="1" outlineLevel="1" spans="1:20">
      <c r="A26" s="33"/>
      <c r="B26" s="49" t="s">
        <v>63</v>
      </c>
      <c r="C26" s="48">
        <f t="shared" si="1"/>
        <v>970.659491476</v>
      </c>
      <c r="D26" s="49"/>
      <c r="E26" s="49"/>
      <c r="F26" s="49"/>
      <c r="G26" s="49"/>
      <c r="H26" s="49">
        <v>0</v>
      </c>
      <c r="I26" s="49"/>
      <c r="J26" s="49"/>
      <c r="K26" s="49"/>
      <c r="L26" s="49"/>
      <c r="M26" s="49"/>
      <c r="N26" s="49">
        <v>970.659491476</v>
      </c>
      <c r="O26" s="49">
        <v>0</v>
      </c>
      <c r="P26" s="44"/>
      <c r="Q26" s="20"/>
      <c r="R26" s="20"/>
      <c r="S26" s="45">
        <f t="shared" si="2"/>
        <v>0.00232718082537756</v>
      </c>
      <c r="T26" s="50">
        <f t="shared" si="3"/>
        <v>0.0107072415879377</v>
      </c>
    </row>
    <row r="27" ht="17" customHeight="1" outlineLevel="1" spans="1:20">
      <c r="A27" s="33"/>
      <c r="B27" s="49" t="s">
        <v>64</v>
      </c>
      <c r="C27" s="48">
        <f t="shared" si="1"/>
        <v>813.888</v>
      </c>
      <c r="D27" s="49"/>
      <c r="E27" s="49"/>
      <c r="F27" s="49">
        <v>813.888</v>
      </c>
      <c r="G27" s="49"/>
      <c r="H27" s="49"/>
      <c r="I27" s="49"/>
      <c r="J27" s="49"/>
      <c r="K27" s="49"/>
      <c r="L27" s="49"/>
      <c r="M27" s="49"/>
      <c r="N27" s="49"/>
      <c r="O27" s="49"/>
      <c r="P27" s="44"/>
      <c r="Q27" s="20"/>
      <c r="R27" s="20"/>
      <c r="S27" s="45">
        <f t="shared" si="2"/>
        <v>0.00195131718613779</v>
      </c>
      <c r="T27" s="50">
        <f t="shared" si="3"/>
        <v>0.00897791194342731</v>
      </c>
    </row>
    <row r="28" ht="17" customHeight="1" outlineLevel="1" spans="1:20">
      <c r="A28" s="33" t="s">
        <v>65</v>
      </c>
      <c r="B28" s="53" t="s">
        <v>66</v>
      </c>
      <c r="C28" s="53">
        <f t="shared" si="1"/>
        <v>100904.665985841</v>
      </c>
      <c r="D28" s="53">
        <v>4648.77870690266</v>
      </c>
      <c r="E28" s="53">
        <v>4636.69234513274</v>
      </c>
      <c r="F28" s="53">
        <v>3595</v>
      </c>
      <c r="G28" s="53">
        <v>3698.74336123894</v>
      </c>
      <c r="H28" s="53">
        <v>5045.87745168141</v>
      </c>
      <c r="I28" s="53">
        <v>5957.6132660177</v>
      </c>
      <c r="J28" s="53">
        <v>10979.7636451327</v>
      </c>
      <c r="K28" s="53">
        <v>20464.5308851328</v>
      </c>
      <c r="L28" s="53">
        <v>21374.3103723894</v>
      </c>
      <c r="M28" s="53">
        <v>9461.60030088497</v>
      </c>
      <c r="N28" s="53">
        <v>7616.02442477877</v>
      </c>
      <c r="O28" s="53">
        <v>3425.73122654867</v>
      </c>
      <c r="P28" s="44"/>
      <c r="Q28" s="20"/>
      <c r="R28" s="20"/>
      <c r="S28" s="45">
        <f t="shared" si="2"/>
        <v>0.241921503818295</v>
      </c>
    </row>
    <row r="29" ht="17" customHeight="1" outlineLevel="1" spans="1:20">
      <c r="A29" s="20" t="s">
        <v>55</v>
      </c>
      <c r="B29" s="53" t="s">
        <v>67</v>
      </c>
      <c r="C29" s="53">
        <f t="shared" si="1"/>
        <v>4730.06684930973</v>
      </c>
      <c r="D29" s="53">
        <v>1288.82348672566</v>
      </c>
      <c r="E29" s="53">
        <v>605.513274336283</v>
      </c>
      <c r="F29" s="53">
        <v>1803.115044</v>
      </c>
      <c r="G29" s="53"/>
      <c r="H29" s="53"/>
      <c r="I29" s="53"/>
      <c r="J29" s="53"/>
      <c r="K29" s="53">
        <v>710.23621238938</v>
      </c>
      <c r="L29" s="53">
        <v>322.378831858407</v>
      </c>
      <c r="M29" s="53"/>
      <c r="N29" s="53"/>
      <c r="O29" s="53"/>
      <c r="P29" s="44"/>
      <c r="Q29" s="20"/>
      <c r="R29" s="20"/>
      <c r="S29" s="45">
        <f t="shared" si="2"/>
        <v>0.0113404556089274</v>
      </c>
    </row>
    <row r="30" ht="17" customHeight="1" outlineLevel="1" spans="1:20">
      <c r="A30" s="33"/>
      <c r="B30" s="53" t="s">
        <v>68</v>
      </c>
      <c r="C30" s="53">
        <f t="shared" si="1"/>
        <v>2551.67932777876</v>
      </c>
      <c r="D30" s="53">
        <v>51.3686902654866</v>
      </c>
      <c r="E30" s="53">
        <v>712.083185840708</v>
      </c>
      <c r="F30" s="53">
        <v>1429.700903</v>
      </c>
      <c r="G30" s="53"/>
      <c r="H30" s="53">
        <v>149.433865486726</v>
      </c>
      <c r="I30" s="53"/>
      <c r="J30" s="53"/>
      <c r="K30" s="53"/>
      <c r="L30" s="53">
        <v>209.092683185841</v>
      </c>
      <c r="M30" s="53"/>
      <c r="N30" s="53"/>
      <c r="O30" s="53"/>
      <c r="P30" s="44"/>
      <c r="Q30" s="20"/>
      <c r="R30" s="20"/>
      <c r="S30" s="45">
        <f t="shared" si="2"/>
        <v>0.0061177161056647</v>
      </c>
    </row>
    <row r="31" ht="17" customHeight="1" outlineLevel="1" spans="1:20">
      <c r="A31" s="33"/>
      <c r="B31" s="53" t="s">
        <v>69</v>
      </c>
      <c r="C31" s="53">
        <f t="shared" si="1"/>
        <v>1042.56194690265</v>
      </c>
      <c r="D31" s="53">
        <v>0</v>
      </c>
      <c r="E31" s="53">
        <v>0</v>
      </c>
      <c r="F31" s="53">
        <v>0</v>
      </c>
      <c r="G31" s="53"/>
      <c r="H31" s="53">
        <v>417.069026548673</v>
      </c>
      <c r="I31" s="53">
        <v>451.824778761062</v>
      </c>
      <c r="J31" s="53"/>
      <c r="K31" s="53"/>
      <c r="L31" s="53">
        <v>173.66814159292</v>
      </c>
      <c r="M31" s="53"/>
      <c r="N31" s="53"/>
      <c r="O31" s="53"/>
      <c r="P31" s="44"/>
      <c r="Q31" s="20"/>
      <c r="R31" s="20"/>
      <c r="S31" s="45">
        <f t="shared" si="2"/>
        <v>0.0024995687915345</v>
      </c>
    </row>
    <row r="32" ht="17" customHeight="1" outlineLevel="1" spans="1:20">
      <c r="A32" s="20" t="s">
        <v>38</v>
      </c>
      <c r="B32" s="54" t="s">
        <v>70</v>
      </c>
      <c r="C32" s="54">
        <f t="shared" si="1"/>
        <v>6707.40107433629</v>
      </c>
      <c r="D32" s="54">
        <v>346.543238938053</v>
      </c>
      <c r="E32" s="54">
        <v>1067.95771504425</v>
      </c>
      <c r="F32" s="54">
        <v>954.26</v>
      </c>
      <c r="G32" s="54">
        <v>626.520331858408</v>
      </c>
      <c r="H32" s="54">
        <v>658.701407964603</v>
      </c>
      <c r="I32" s="54">
        <v>409.379805309735</v>
      </c>
      <c r="J32" s="54">
        <v>427.349122123895</v>
      </c>
      <c r="K32" s="54">
        <v>275.928371681416</v>
      </c>
      <c r="L32" s="54">
        <v>100.099238938053</v>
      </c>
      <c r="M32" s="54">
        <v>507.979849557523</v>
      </c>
      <c r="N32" s="54">
        <v>629.328353982301</v>
      </c>
      <c r="O32" s="54">
        <v>703.353638938054</v>
      </c>
      <c r="P32" s="44"/>
      <c r="Q32" s="20"/>
      <c r="R32" s="20"/>
      <c r="S32" s="45">
        <f t="shared" si="2"/>
        <v>0.0160811647188207</v>
      </c>
    </row>
    <row r="33" ht="17" customHeight="1" outlineLevel="1" spans="1:21">
      <c r="A33" s="33" t="s">
        <v>46</v>
      </c>
      <c r="B33" s="54" t="s">
        <v>71</v>
      </c>
      <c r="C33" s="54">
        <f t="shared" si="1"/>
        <v>16477.8919504425</v>
      </c>
      <c r="D33" s="54">
        <v>1493.40899115044</v>
      </c>
      <c r="E33" s="54">
        <v>3016.96299026549</v>
      </c>
      <c r="F33" s="54">
        <v>3113.41</v>
      </c>
      <c r="G33" s="54">
        <v>2366.60233274336</v>
      </c>
      <c r="H33" s="54">
        <v>1393.74183539823</v>
      </c>
      <c r="I33" s="54">
        <v>1353.14002035398</v>
      </c>
      <c r="J33" s="54">
        <v>1649.29790088496</v>
      </c>
      <c r="K33" s="54">
        <v>1010.07676814159</v>
      </c>
      <c r="L33" s="54">
        <v>361.524801769912</v>
      </c>
      <c r="M33" s="54">
        <v>173.942292035398</v>
      </c>
      <c r="N33" s="54">
        <v>142.150026548673</v>
      </c>
      <c r="O33" s="54">
        <v>403.633991150443</v>
      </c>
      <c r="P33" s="44"/>
      <c r="Q33" s="20"/>
      <c r="R33" s="20"/>
      <c r="S33" s="45">
        <f t="shared" si="2"/>
        <v>0.0395061651655019</v>
      </c>
    </row>
    <row r="34" ht="17" customHeight="1" outlineLevel="1" spans="1:21">
      <c r="A34" s="33"/>
      <c r="B34" s="54" t="s">
        <v>72</v>
      </c>
      <c r="C34" s="54">
        <f t="shared" si="1"/>
        <v>1047.33557522124</v>
      </c>
      <c r="D34" s="54">
        <v>164.121769911505</v>
      </c>
      <c r="E34" s="54">
        <v>354.013805309734</v>
      </c>
      <c r="F34" s="54">
        <v>529.2</v>
      </c>
      <c r="G34" s="54"/>
      <c r="H34" s="54"/>
      <c r="I34" s="54"/>
      <c r="J34" s="54"/>
      <c r="K34" s="54"/>
      <c r="L34" s="54"/>
      <c r="M34" s="54"/>
      <c r="N34" s="54"/>
      <c r="O34" s="54"/>
      <c r="P34" s="44"/>
      <c r="Q34" s="20"/>
      <c r="R34" s="20"/>
      <c r="S34" s="45">
        <f t="shared" si="2"/>
        <v>0.00251101368687426</v>
      </c>
    </row>
    <row r="35" ht="17" customHeight="1" outlineLevel="1" spans="1:21">
      <c r="A35" s="33" t="s">
        <v>42</v>
      </c>
      <c r="B35" s="43" t="s">
        <v>73</v>
      </c>
      <c r="C35" s="43">
        <f t="shared" si="1"/>
        <v>124.78</v>
      </c>
      <c r="D35" s="43"/>
      <c r="E35" s="43"/>
      <c r="F35" s="43">
        <v>124.78</v>
      </c>
      <c r="G35" s="43"/>
      <c r="H35" s="43"/>
      <c r="I35" s="43"/>
      <c r="J35" s="43"/>
      <c r="K35" s="43"/>
      <c r="L35" s="43"/>
      <c r="M35" s="43"/>
      <c r="N35" s="43"/>
      <c r="O35" s="43"/>
      <c r="P35" s="44"/>
      <c r="Q35" s="20"/>
      <c r="R35" s="20"/>
      <c r="S35" s="45">
        <f t="shared" si="2"/>
        <v>0.000299163224530001</v>
      </c>
    </row>
    <row r="36" ht="17" customHeight="1" outlineLevel="1" spans="1:21">
      <c r="A36" s="33" t="s">
        <v>42</v>
      </c>
      <c r="B36" s="43" t="s">
        <v>74</v>
      </c>
      <c r="C36" s="43">
        <f t="shared" si="1"/>
        <v>693.488672566372</v>
      </c>
      <c r="D36" s="43"/>
      <c r="E36" s="43">
        <v>158.362831858407</v>
      </c>
      <c r="F36" s="43"/>
      <c r="G36" s="43"/>
      <c r="H36" s="43"/>
      <c r="I36" s="43">
        <v>178.107345132744</v>
      </c>
      <c r="J36" s="43"/>
      <c r="K36" s="43"/>
      <c r="L36" s="43"/>
      <c r="M36" s="43"/>
      <c r="N36" s="43">
        <v>357.018495575221</v>
      </c>
      <c r="O36" s="43">
        <v>0</v>
      </c>
      <c r="P36" s="44"/>
      <c r="Q36" s="20"/>
      <c r="R36" s="20"/>
      <c r="S36" s="45">
        <f t="shared" si="2"/>
        <v>0.00166265673553443</v>
      </c>
    </row>
    <row r="37" ht="17" customHeight="1" outlineLevel="1" spans="1:21">
      <c r="A37" s="33" t="s">
        <v>44</v>
      </c>
      <c r="B37" s="43" t="s">
        <v>75</v>
      </c>
      <c r="C37" s="43">
        <f t="shared" si="1"/>
        <v>253.851238938053</v>
      </c>
      <c r="D37" s="43"/>
      <c r="E37" s="43"/>
      <c r="F37" s="43"/>
      <c r="G37" s="43"/>
      <c r="H37" s="43"/>
      <c r="I37" s="43"/>
      <c r="J37" s="43">
        <v>253.851238938053</v>
      </c>
      <c r="K37" s="43"/>
      <c r="L37" s="43"/>
      <c r="M37" s="43"/>
      <c r="N37" s="43"/>
      <c r="O37" s="43"/>
      <c r="P37" s="44"/>
      <c r="Q37" s="20"/>
      <c r="R37" s="20"/>
      <c r="S37" s="45">
        <f t="shared" si="2"/>
        <v>0.000608614803587464</v>
      </c>
    </row>
    <row r="38" ht="17" customHeight="1" outlineLevel="1" spans="1:21">
      <c r="A38" s="33" t="s">
        <v>46</v>
      </c>
      <c r="B38" s="43" t="s">
        <v>76</v>
      </c>
      <c r="C38" s="43">
        <f t="shared" si="1"/>
        <v>49.8726194690265</v>
      </c>
      <c r="D38" s="43">
        <v>5.27235398230088</v>
      </c>
      <c r="E38" s="43"/>
      <c r="F38" s="43">
        <v>7.91</v>
      </c>
      <c r="G38" s="43"/>
      <c r="H38" s="43"/>
      <c r="I38" s="43"/>
      <c r="J38" s="43">
        <v>5.87044247787612</v>
      </c>
      <c r="K38" s="43">
        <v>11.7408849557522</v>
      </c>
      <c r="L38" s="43">
        <v>11.7408849557522</v>
      </c>
      <c r="M38" s="43">
        <v>7.33805309734514</v>
      </c>
      <c r="N38" s="43"/>
      <c r="O38" s="43"/>
      <c r="P38" s="44"/>
      <c r="Q38" s="20"/>
      <c r="R38" s="20"/>
      <c r="S38" s="45">
        <f t="shared" si="2"/>
        <v>0.000119570873987111</v>
      </c>
      <c r="T38" s="20"/>
      <c r="U38" s="20"/>
    </row>
    <row r="39" ht="17" customHeight="1" outlineLevel="1" spans="1:21">
      <c r="A39" s="33" t="s">
        <v>46</v>
      </c>
      <c r="B39" s="55" t="s">
        <v>77</v>
      </c>
      <c r="C39" s="55">
        <f t="shared" si="1"/>
        <v>29904.9511030046</v>
      </c>
      <c r="D39" s="55">
        <v>78.99815</v>
      </c>
      <c r="E39" s="55"/>
      <c r="F39" s="55"/>
      <c r="G39" s="55"/>
      <c r="H39" s="55">
        <v>328.310035646903</v>
      </c>
      <c r="I39" s="55">
        <v>1441.53539823009</v>
      </c>
      <c r="J39" s="55">
        <v>6432.20409034857</v>
      </c>
      <c r="K39" s="55">
        <v>5435.6207544815</v>
      </c>
      <c r="L39" s="55">
        <v>7985.39863524565</v>
      </c>
      <c r="M39" s="55">
        <v>1985.22437635115</v>
      </c>
      <c r="N39" s="55">
        <v>29.6308857096195</v>
      </c>
      <c r="O39" s="55">
        <v>6188.02877699116</v>
      </c>
      <c r="P39" s="44"/>
      <c r="Q39" s="20"/>
      <c r="R39" s="20"/>
      <c r="S39" s="45">
        <f t="shared" si="2"/>
        <v>0.0716978810817991</v>
      </c>
      <c r="T39" s="20"/>
      <c r="U39" s="20"/>
    </row>
    <row r="40" ht="17" customHeight="1" outlineLevel="1" spans="1:21">
      <c r="A40" s="33" t="s">
        <v>46</v>
      </c>
      <c r="B40" s="43" t="s">
        <v>78</v>
      </c>
      <c r="C40" s="43">
        <f t="shared" si="1"/>
        <v>7698.93526548672</v>
      </c>
      <c r="D40" s="43"/>
      <c r="E40" s="43"/>
      <c r="F40" s="43"/>
      <c r="G40" s="43"/>
      <c r="H40" s="43">
        <v>59.3761061946903</v>
      </c>
      <c r="I40" s="43">
        <v>391.194690265488</v>
      </c>
      <c r="J40" s="43">
        <v>2371.5828318584</v>
      </c>
      <c r="K40" s="43">
        <v>3974.61402654867</v>
      </c>
      <c r="L40" s="43">
        <v>741.54814159292</v>
      </c>
      <c r="M40" s="43"/>
      <c r="N40" s="43">
        <v>160.619469026549</v>
      </c>
      <c r="O40" s="43">
        <v>0</v>
      </c>
      <c r="P40" s="44"/>
      <c r="Q40" s="20"/>
      <c r="R40" s="20"/>
      <c r="S40" s="45">
        <f t="shared" si="2"/>
        <v>0.0184583931677412</v>
      </c>
      <c r="T40" s="20"/>
      <c r="U40" s="20"/>
    </row>
    <row r="41" ht="17" customHeight="1" outlineLevel="1" spans="1:21">
      <c r="A41" s="33"/>
      <c r="B41" s="43" t="s">
        <v>79</v>
      </c>
      <c r="C41" s="43">
        <f t="shared" si="1"/>
        <v>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4"/>
      <c r="Q41" s="20"/>
      <c r="R41" s="20"/>
      <c r="S41" s="45">
        <f t="shared" si="2"/>
        <v>0</v>
      </c>
    </row>
    <row r="42" ht="17" customHeight="1" outlineLevel="1" spans="1:21">
      <c r="A42" s="33"/>
      <c r="B42" s="43" t="s">
        <v>80</v>
      </c>
      <c r="C42" s="43">
        <f t="shared" si="1"/>
        <v>15.3737168141593</v>
      </c>
      <c r="D42" s="43"/>
      <c r="E42" s="43"/>
      <c r="F42" s="43">
        <v>6.21</v>
      </c>
      <c r="G42" s="43"/>
      <c r="H42" s="43"/>
      <c r="I42" s="43"/>
      <c r="J42" s="43"/>
      <c r="K42" s="43">
        <v>2.25663716814159</v>
      </c>
      <c r="L42" s="43"/>
      <c r="M42" s="43"/>
      <c r="N42" s="43">
        <v>6.90707964601769</v>
      </c>
      <c r="O42" s="43">
        <v>0</v>
      </c>
      <c r="P42" s="20"/>
      <c r="Q42" s="20"/>
      <c r="R42" s="20"/>
      <c r="S42" s="45">
        <f t="shared" si="2"/>
        <v>3.68588771849254e-5</v>
      </c>
    </row>
    <row r="43" ht="17" customHeight="1" outlineLevel="1" spans="1:21">
      <c r="A43" s="3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20"/>
      <c r="Q43" s="20"/>
      <c r="R43" s="20"/>
      <c r="S43" s="45">
        <f t="shared" si="2"/>
        <v>0</v>
      </c>
    </row>
    <row r="44" ht="17" customHeight="1" outlineLevel="1" spans="1:21">
      <c r="A44" s="3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 ht="17" customHeight="1" outlineLevel="1" spans="1:21">
      <c r="A45" s="20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ht="17" customHeight="1" spans="1:21"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ht="68" customHeight="1" spans="1:21">
      <c r="B47" s="34" t="s">
        <v>81</v>
      </c>
      <c r="C47" s="35" t="s">
        <v>82</v>
      </c>
      <c r="D47" s="35" t="s">
        <v>83</v>
      </c>
      <c r="E47" s="35" t="s">
        <v>84</v>
      </c>
      <c r="F47" s="35" t="s">
        <v>85</v>
      </c>
      <c r="G47" s="35" t="s">
        <v>86</v>
      </c>
      <c r="H47" s="35" t="s">
        <v>87</v>
      </c>
      <c r="I47" s="35" t="s">
        <v>88</v>
      </c>
      <c r="J47" s="35" t="s">
        <v>89</v>
      </c>
      <c r="K47" s="35" t="s">
        <v>90</v>
      </c>
      <c r="L47" s="35" t="s">
        <v>91</v>
      </c>
      <c r="M47" s="35" t="s">
        <v>92</v>
      </c>
      <c r="N47" s="35" t="s">
        <v>93</v>
      </c>
      <c r="O47" s="35" t="s">
        <v>94</v>
      </c>
      <c r="P47" s="35" t="s">
        <v>95</v>
      </c>
      <c r="Q47" s="35" t="s">
        <v>96</v>
      </c>
      <c r="R47" s="35" t="s">
        <v>97</v>
      </c>
      <c r="S47" s="35" t="s">
        <v>98</v>
      </c>
    </row>
    <row r="48" ht="17" customHeight="1" spans="1:21">
      <c r="B48" s="58" t="s">
        <v>99</v>
      </c>
      <c r="C48" s="59">
        <f t="shared" ref="C48:T48" si="4">C5+C9+C13+C14+C20+C25+C27+C26</f>
        <v>70061.5111395443</v>
      </c>
      <c r="D48" s="59">
        <f t="shared" si="4"/>
        <v>8132.3051674</v>
      </c>
      <c r="E48" s="59">
        <f t="shared" si="4"/>
        <v>3220.4209824</v>
      </c>
      <c r="F48" s="59">
        <f t="shared" si="4"/>
        <v>6662.969194</v>
      </c>
      <c r="G48" s="59">
        <f t="shared" si="4"/>
        <v>3342.9347136</v>
      </c>
      <c r="H48" s="59">
        <f t="shared" si="4"/>
        <v>5900.628091965</v>
      </c>
      <c r="I48" s="59">
        <f t="shared" si="4"/>
        <v>4495.938642132</v>
      </c>
      <c r="J48" s="59">
        <f t="shared" si="4"/>
        <v>6157.0353698247</v>
      </c>
      <c r="K48" s="59">
        <f t="shared" si="4"/>
        <v>3163.4807018496</v>
      </c>
      <c r="L48" s="59">
        <f t="shared" si="4"/>
        <v>5894.059868544</v>
      </c>
      <c r="M48" s="59">
        <f t="shared" si="4"/>
        <v>6875.52162081</v>
      </c>
      <c r="N48" s="59">
        <f t="shared" si="4"/>
        <v>8504.15958805639</v>
      </c>
      <c r="O48" s="59">
        <f t="shared" si="4"/>
        <v>7712.05719896262</v>
      </c>
      <c r="P48" s="59">
        <v>100006.41</v>
      </c>
      <c r="Q48" s="60">
        <f>C48/P48</f>
        <v>0.700570204845313</v>
      </c>
      <c r="R48" s="59">
        <v>85001.49</v>
      </c>
      <c r="S48" s="60">
        <f>C48/R48</f>
        <v>0.824238623811704</v>
      </c>
    </row>
    <row r="49" ht="17" customHeight="1" spans="2:20">
      <c r="B49" s="58" t="s">
        <v>100</v>
      </c>
      <c r="C49" s="59">
        <f t="shared" ref="C49:T49" si="5">C7+C10+C11+C15+C8+C16+C37+C12</f>
        <v>62055.1836239354</v>
      </c>
      <c r="D49" s="59">
        <f t="shared" si="5"/>
        <v>2205.0044</v>
      </c>
      <c r="E49" s="59">
        <f t="shared" si="5"/>
        <v>1525.4496</v>
      </c>
      <c r="F49" s="59">
        <f t="shared" si="5"/>
        <v>2699.30268</v>
      </c>
      <c r="G49" s="59">
        <f t="shared" si="5"/>
        <v>3955.2463152</v>
      </c>
      <c r="H49" s="59">
        <f t="shared" si="5"/>
        <v>3452.1830181825</v>
      </c>
      <c r="I49" s="59">
        <f t="shared" si="5"/>
        <v>5836.7061256392</v>
      </c>
      <c r="J49" s="59">
        <f t="shared" si="5"/>
        <v>9682.36315522805</v>
      </c>
      <c r="K49" s="59">
        <f t="shared" si="5"/>
        <v>8433.1457954304</v>
      </c>
      <c r="L49" s="59">
        <f t="shared" si="5"/>
        <v>17401.771643758</v>
      </c>
      <c r="M49" s="59">
        <f t="shared" si="5"/>
        <v>3988.557777465</v>
      </c>
      <c r="N49" s="59">
        <f t="shared" si="5"/>
        <v>1405.6306466368</v>
      </c>
      <c r="O49" s="59">
        <f t="shared" si="5"/>
        <v>1469.8224663954</v>
      </c>
      <c r="P49" s="59">
        <v>50007.055</v>
      </c>
      <c r="Q49" s="60">
        <f t="shared" ref="Q49:Q55" si="6">C49/P49</f>
        <v>1.24092857745643</v>
      </c>
      <c r="R49" s="59">
        <v>45003.455</v>
      </c>
      <c r="S49" s="60">
        <f t="shared" ref="S49:S56" si="7">C49/R49</f>
        <v>1.37889821179141</v>
      </c>
    </row>
    <row r="50" ht="17" customHeight="1" spans="2:20">
      <c r="B50" s="58" t="s">
        <v>101</v>
      </c>
      <c r="C50" s="59">
        <f t="shared" ref="C50:T50" si="8">C18+C19+C21+C22+C23+C24</f>
        <v>5104.1118732</v>
      </c>
      <c r="D50" s="59">
        <f t="shared" si="8"/>
        <v>665.4688</v>
      </c>
      <c r="E50" s="59">
        <f t="shared" si="8"/>
        <v>133.488</v>
      </c>
      <c r="F50" s="59">
        <f t="shared" si="8"/>
        <v>311.472</v>
      </c>
      <c r="G50" s="59">
        <f t="shared" si="8"/>
        <v>0</v>
      </c>
      <c r="H50" s="59">
        <f t="shared" si="8"/>
        <v>166.54464</v>
      </c>
      <c r="I50" s="59">
        <f t="shared" si="8"/>
        <v>7.687736</v>
      </c>
      <c r="J50" s="59">
        <f t="shared" si="8"/>
        <v>0</v>
      </c>
      <c r="K50" s="59">
        <f t="shared" si="8"/>
        <v>1239.6358656</v>
      </c>
      <c r="L50" s="59">
        <f t="shared" si="8"/>
        <v>741.6729536</v>
      </c>
      <c r="M50" s="59">
        <f t="shared" si="8"/>
        <v>156.978</v>
      </c>
      <c r="N50" s="59">
        <f t="shared" si="8"/>
        <v>1013.343088</v>
      </c>
      <c r="O50" s="59">
        <f t="shared" si="8"/>
        <v>667.82079</v>
      </c>
      <c r="P50" s="59">
        <v>13503.972</v>
      </c>
      <c r="Q50" s="60">
        <f t="shared" si="6"/>
        <v>0.377971153465069</v>
      </c>
      <c r="R50" s="59">
        <v>12002.372</v>
      </c>
      <c r="S50" s="60">
        <f t="shared" si="7"/>
        <v>0.425258596650729</v>
      </c>
    </row>
    <row r="51" ht="17" customHeight="1" spans="2:20">
      <c r="B51" s="58" t="s">
        <v>102</v>
      </c>
      <c r="C51" s="59">
        <f t="shared" ref="C51:T51" si="9">C17</f>
        <v>164.29968</v>
      </c>
      <c r="D51" s="59">
        <f t="shared" si="9"/>
        <v>0</v>
      </c>
      <c r="E51" s="59">
        <f t="shared" si="9"/>
        <v>0</v>
      </c>
      <c r="F51" s="59">
        <f t="shared" si="9"/>
        <v>0</v>
      </c>
      <c r="G51" s="59">
        <f t="shared" si="9"/>
        <v>164.29968</v>
      </c>
      <c r="H51" s="59">
        <f t="shared" si="9"/>
        <v>0</v>
      </c>
      <c r="I51" s="59">
        <f t="shared" si="9"/>
        <v>0</v>
      </c>
      <c r="J51" s="59">
        <f t="shared" si="9"/>
        <v>0</v>
      </c>
      <c r="K51" s="59">
        <f t="shared" si="9"/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v>16506.728</v>
      </c>
      <c r="Q51" s="60">
        <f t="shared" si="6"/>
        <v>0.00995349774952371</v>
      </c>
      <c r="R51" s="59">
        <v>14701.078</v>
      </c>
      <c r="S51" s="60">
        <f t="shared" si="7"/>
        <v>0.0111760294041022</v>
      </c>
    </row>
    <row r="52" ht="17" customHeight="1" spans="2:20">
      <c r="B52" s="58" t="s">
        <v>103</v>
      </c>
      <c r="C52" s="59">
        <f t="shared" ref="C52:S52" si="10">C6+C29+C33+C30+C40</f>
        <v>139221.184005042</v>
      </c>
      <c r="D52" s="59">
        <f t="shared" si="10"/>
        <v>9579.26159952437</v>
      </c>
      <c r="E52" s="59">
        <f t="shared" si="10"/>
        <v>9201.69170174531</v>
      </c>
      <c r="F52" s="59">
        <f t="shared" si="10"/>
        <v>12352.418191</v>
      </c>
      <c r="G52" s="59">
        <f t="shared" si="10"/>
        <v>7580.17378497888</v>
      </c>
      <c r="H52" s="59">
        <f t="shared" si="10"/>
        <v>9947.29777731257</v>
      </c>
      <c r="I52" s="59">
        <f t="shared" si="10"/>
        <v>10365.3056979713</v>
      </c>
      <c r="J52" s="59">
        <f t="shared" si="10"/>
        <v>13903.179776396</v>
      </c>
      <c r="K52" s="59">
        <f t="shared" si="10"/>
        <v>15289.2120347682</v>
      </c>
      <c r="L52" s="59">
        <f t="shared" si="10"/>
        <v>16687.2294450971</v>
      </c>
      <c r="M52" s="59">
        <f t="shared" si="10"/>
        <v>9778.75720332664</v>
      </c>
      <c r="N52" s="59">
        <f>N6+N29+N33+N30</f>
        <v>11294.6141858571</v>
      </c>
      <c r="O52" s="59">
        <f>O6+O29+O33+O30</f>
        <v>13081.4231380371</v>
      </c>
      <c r="P52" s="59">
        <v>181000.08032431</v>
      </c>
      <c r="Q52" s="60">
        <f t="shared" si="6"/>
        <v>0.76917747083642</v>
      </c>
      <c r="R52" s="59">
        <v>151000.10532431</v>
      </c>
      <c r="S52" s="60">
        <f t="shared" si="7"/>
        <v>0.921993952958045</v>
      </c>
    </row>
    <row r="53" ht="17" customHeight="1" spans="2:20">
      <c r="B53" s="58" t="s">
        <v>104</v>
      </c>
      <c r="C53" s="59">
        <f t="shared" ref="C53:T53" si="11">C28+C32+C31+C38</f>
        <v>108704.501626549</v>
      </c>
      <c r="D53" s="59">
        <f t="shared" si="11"/>
        <v>5000.59429982301</v>
      </c>
      <c r="E53" s="59">
        <f t="shared" si="11"/>
        <v>5704.65006017699</v>
      </c>
      <c r="F53" s="59">
        <f t="shared" si="11"/>
        <v>4557.17</v>
      </c>
      <c r="G53" s="59">
        <f t="shared" si="11"/>
        <v>4325.26369309735</v>
      </c>
      <c r="H53" s="59">
        <f t="shared" si="11"/>
        <v>6121.64788619469</v>
      </c>
      <c r="I53" s="59">
        <f t="shared" si="11"/>
        <v>6818.8178500885</v>
      </c>
      <c r="J53" s="59">
        <f t="shared" si="11"/>
        <v>11412.9832097345</v>
      </c>
      <c r="K53" s="59">
        <f t="shared" si="11"/>
        <v>20752.20014177</v>
      </c>
      <c r="L53" s="59">
        <f t="shared" si="11"/>
        <v>21659.8186378761</v>
      </c>
      <c r="M53" s="59">
        <f t="shared" si="11"/>
        <v>9976.91820353984</v>
      </c>
      <c r="N53" s="59">
        <f t="shared" si="11"/>
        <v>8245.35277876107</v>
      </c>
      <c r="O53" s="59">
        <f t="shared" si="11"/>
        <v>4129.08486548672</v>
      </c>
      <c r="P53" s="59">
        <v>65000</v>
      </c>
      <c r="Q53" s="60">
        <f t="shared" si="6"/>
        <v>1.67237694810075</v>
      </c>
      <c r="R53" s="59">
        <v>49999.9817529203</v>
      </c>
      <c r="S53" s="60">
        <f t="shared" si="7"/>
        <v>2.17409082594715</v>
      </c>
    </row>
    <row r="54" ht="17" customHeight="1" spans="2:20">
      <c r="B54" s="58" t="s">
        <v>105</v>
      </c>
      <c r="C54" s="59">
        <f t="shared" ref="C54:S54" si="12">C34+C35+C36+C41+C42</f>
        <v>1880.97796460177</v>
      </c>
      <c r="D54" s="59">
        <f t="shared" si="12"/>
        <v>164.121769911505</v>
      </c>
      <c r="E54" s="59">
        <f t="shared" si="12"/>
        <v>512.376637168141</v>
      </c>
      <c r="F54" s="59">
        <f t="shared" si="12"/>
        <v>660.19</v>
      </c>
      <c r="G54" s="59">
        <f t="shared" si="12"/>
        <v>0</v>
      </c>
      <c r="H54" s="59">
        <f t="shared" si="12"/>
        <v>0</v>
      </c>
      <c r="I54" s="59">
        <f t="shared" si="12"/>
        <v>178.107345132744</v>
      </c>
      <c r="J54" s="59">
        <f t="shared" si="12"/>
        <v>0</v>
      </c>
      <c r="K54" s="59">
        <f t="shared" si="12"/>
        <v>2.25663716814159</v>
      </c>
      <c r="L54" s="59">
        <f t="shared" si="12"/>
        <v>0</v>
      </c>
      <c r="M54" s="59">
        <f t="shared" si="12"/>
        <v>0</v>
      </c>
      <c r="N54" s="59">
        <f>N34+N35+N36+N40+N41+N42</f>
        <v>524.545044247788</v>
      </c>
      <c r="O54" s="59">
        <f>O34+O35+O36+O40+O41+O42</f>
        <v>0</v>
      </c>
      <c r="P54" s="59">
        <v>11009.474159292</v>
      </c>
      <c r="Q54" s="60">
        <f t="shared" si="6"/>
        <v>0.170850845134527</v>
      </c>
      <c r="R54" s="59">
        <v>10001.4192035398</v>
      </c>
      <c r="S54" s="60">
        <f t="shared" si="7"/>
        <v>0.188071105342333</v>
      </c>
    </row>
    <row r="55" ht="17" customHeight="1" spans="2:20">
      <c r="B55" s="58" t="s">
        <v>106</v>
      </c>
      <c r="C55" s="59">
        <f t="shared" ref="C55:T55" si="13">C39</f>
        <v>29904.9511030046</v>
      </c>
      <c r="D55" s="59">
        <f t="shared" si="13"/>
        <v>78.99815</v>
      </c>
      <c r="E55" s="59">
        <f t="shared" si="13"/>
        <v>0</v>
      </c>
      <c r="F55" s="59">
        <f t="shared" si="13"/>
        <v>0</v>
      </c>
      <c r="G55" s="59">
        <f t="shared" si="13"/>
        <v>0</v>
      </c>
      <c r="H55" s="59">
        <f t="shared" si="13"/>
        <v>328.310035646903</v>
      </c>
      <c r="I55" s="59">
        <f t="shared" si="13"/>
        <v>1441.53539823009</v>
      </c>
      <c r="J55" s="59">
        <f t="shared" si="13"/>
        <v>6432.20409034857</v>
      </c>
      <c r="K55" s="59">
        <f t="shared" si="13"/>
        <v>5435.6207544815</v>
      </c>
      <c r="L55" s="59">
        <f t="shared" si="13"/>
        <v>7985.39863524565</v>
      </c>
      <c r="M55" s="59">
        <f t="shared" si="13"/>
        <v>1985.22437635115</v>
      </c>
      <c r="N55" s="59">
        <f t="shared" si="13"/>
        <v>29.6308857096195</v>
      </c>
      <c r="O55" s="59">
        <f t="shared" si="13"/>
        <v>6188.02877699116</v>
      </c>
      <c r="P55" s="59">
        <v>0</v>
      </c>
      <c r="Q55" s="60"/>
      <c r="R55" s="59">
        <v>0</v>
      </c>
      <c r="S55" s="60"/>
    </row>
    <row r="56" ht="17" customHeight="1" spans="2:20">
      <c r="B56" s="61" t="s">
        <v>107</v>
      </c>
      <c r="C56" s="62">
        <f t="shared" ref="C56:U56" si="14">SUM(C48:C55)</f>
        <v>417096.721015876</v>
      </c>
      <c r="D56" s="62">
        <f t="shared" si="14"/>
        <v>25825.7541866589</v>
      </c>
      <c r="E56" s="62">
        <f t="shared" si="14"/>
        <v>20298.0769814904</v>
      </c>
      <c r="F56" s="62">
        <f t="shared" si="14"/>
        <v>27243.522065</v>
      </c>
      <c r="G56" s="62">
        <f t="shared" si="14"/>
        <v>19367.9181868762</v>
      </c>
      <c r="H56" s="62">
        <f t="shared" si="14"/>
        <v>25916.6114493017</v>
      </c>
      <c r="I56" s="62">
        <f t="shared" si="14"/>
        <v>29144.0987951939</v>
      </c>
      <c r="J56" s="62">
        <f t="shared" si="14"/>
        <v>47587.7656015318</v>
      </c>
      <c r="K56" s="62">
        <f t="shared" si="14"/>
        <v>54315.5519310678</v>
      </c>
      <c r="L56" s="62">
        <f t="shared" si="14"/>
        <v>70369.9511841209</v>
      </c>
      <c r="M56" s="62">
        <f t="shared" si="14"/>
        <v>32761.9571814926</v>
      </c>
      <c r="N56" s="62">
        <f t="shared" si="14"/>
        <v>31017.2762172687</v>
      </c>
      <c r="O56" s="62">
        <f t="shared" si="14"/>
        <v>33248.237235873</v>
      </c>
      <c r="P56" s="62">
        <f>SUM(P48:P55)</f>
        <v>437033.719483602</v>
      </c>
      <c r="Q56" s="46">
        <f>C56/P56</f>
        <v>0.95438109789038</v>
      </c>
      <c r="R56" s="62">
        <f>SUM(R48:R55)</f>
        <v>367709.90128077</v>
      </c>
      <c r="S56" s="46">
        <f t="shared" si="7"/>
        <v>1.13430919201003</v>
      </c>
    </row>
    <row r="57" ht="17" customHeight="1"/>
    <row r="58" ht="17" customHeight="1"/>
    <row r="59" ht="21" customHeight="1" spans="2:20">
      <c r="B59" s="34" t="s">
        <v>15</v>
      </c>
      <c r="C59" s="34" t="s">
        <v>16</v>
      </c>
      <c r="D59" s="34" t="s">
        <v>17</v>
      </c>
      <c r="E59" s="34" t="s">
        <v>18</v>
      </c>
      <c r="F59" s="34" t="s">
        <v>19</v>
      </c>
      <c r="G59" s="34" t="s">
        <v>20</v>
      </c>
      <c r="H59" s="34" t="s">
        <v>21</v>
      </c>
      <c r="I59" s="34" t="s">
        <v>22</v>
      </c>
      <c r="J59" s="34" t="s">
        <v>23</v>
      </c>
      <c r="K59" s="34" t="s">
        <v>24</v>
      </c>
      <c r="L59" s="34" t="s">
        <v>25</v>
      </c>
      <c r="M59" s="34" t="s">
        <v>26</v>
      </c>
      <c r="N59" s="34" t="s">
        <v>27</v>
      </c>
      <c r="O59" s="34" t="s">
        <v>28</v>
      </c>
      <c r="P59" s="35" t="s">
        <v>108</v>
      </c>
      <c r="Q59" s="63" t="s">
        <v>109</v>
      </c>
      <c r="R59" s="63" t="s">
        <v>110</v>
      </c>
      <c r="S59" s="63" t="s">
        <v>111</v>
      </c>
      <c r="T59" s="64" t="s">
        <v>112</v>
      </c>
    </row>
    <row r="60" ht="17" customHeight="1" spans="2:20">
      <c r="B60" s="34"/>
      <c r="C60" s="36" t="s">
        <v>29</v>
      </c>
      <c r="D60" s="36" t="s">
        <v>30</v>
      </c>
      <c r="E60" s="36" t="s">
        <v>30</v>
      </c>
      <c r="F60" s="36" t="s">
        <v>30</v>
      </c>
      <c r="G60" s="36" t="s">
        <v>30</v>
      </c>
      <c r="H60" s="36" t="s">
        <v>30</v>
      </c>
      <c r="I60" s="36" t="s">
        <v>30</v>
      </c>
      <c r="J60" s="36" t="s">
        <v>30</v>
      </c>
      <c r="K60" s="36" t="s">
        <v>30</v>
      </c>
      <c r="L60" s="36" t="s">
        <v>30</v>
      </c>
      <c r="M60" s="36" t="s">
        <v>30</v>
      </c>
      <c r="N60" s="36" t="s">
        <v>30</v>
      </c>
      <c r="O60" s="36" t="s">
        <v>30</v>
      </c>
      <c r="P60" s="37" t="s">
        <v>113</v>
      </c>
      <c r="Q60" s="65"/>
      <c r="R60" s="65"/>
      <c r="S60" s="65"/>
      <c r="T60" s="66"/>
    </row>
    <row r="61" ht="17" customHeight="1" spans="2:20">
      <c r="B61" s="40" t="s">
        <v>33</v>
      </c>
      <c r="C61" s="41">
        <f>SUM(C62:C92)</f>
        <v>417096.721015875</v>
      </c>
      <c r="D61" s="41">
        <f t="shared" ref="C61:V61" si="15">SUM(D62:D92)</f>
        <v>25825.7541866589</v>
      </c>
      <c r="E61" s="41">
        <f t="shared" si="15"/>
        <v>20298.0769814904</v>
      </c>
      <c r="F61" s="41">
        <f t="shared" si="15"/>
        <v>27243.522065</v>
      </c>
      <c r="G61" s="41">
        <f t="shared" si="15"/>
        <v>19367.9181868762</v>
      </c>
      <c r="H61" s="41">
        <f t="shared" si="15"/>
        <v>25916.6114493017</v>
      </c>
      <c r="I61" s="41">
        <f t="shared" si="15"/>
        <v>29144.0987951939</v>
      </c>
      <c r="J61" s="41">
        <f t="shared" si="15"/>
        <v>47587.7656015318</v>
      </c>
      <c r="K61" s="41">
        <f t="shared" si="15"/>
        <v>54315.5519310678</v>
      </c>
      <c r="L61" s="41">
        <f t="shared" si="15"/>
        <v>70369.9511841209</v>
      </c>
      <c r="M61" s="41">
        <f t="shared" si="15"/>
        <v>32761.9571814926</v>
      </c>
      <c r="N61" s="41">
        <f t="shared" si="15"/>
        <v>31017.2762172687</v>
      </c>
      <c r="O61" s="41">
        <f t="shared" si="15"/>
        <v>33248.237235873</v>
      </c>
      <c r="P61" s="41">
        <f>SUM(P62:P92)</f>
        <v>367709.90128077</v>
      </c>
      <c r="Q61" s="41">
        <f>C61-P61</f>
        <v>49386.8197351054</v>
      </c>
      <c r="R61" s="67">
        <f>SUM(R62:R67)</f>
        <v>270731.133632775</v>
      </c>
      <c r="S61" s="68">
        <f>(C61-R61)/R61</f>
        <v>0.54063079269499</v>
      </c>
    </row>
    <row r="62" ht="17" customHeight="1" spans="2:20">
      <c r="B62" s="42" t="s">
        <v>37</v>
      </c>
      <c r="C62" s="43">
        <f>SUM(D62:O62)</f>
        <v>107762.610612023</v>
      </c>
      <c r="D62" s="43">
        <v>6745.66043138278</v>
      </c>
      <c r="E62" s="43">
        <v>4867.13225130283</v>
      </c>
      <c r="F62" s="43">
        <f t="shared" ref="F62:O62" si="16">F6</f>
        <v>6006.192244</v>
      </c>
      <c r="G62" s="43">
        <f t="shared" si="16"/>
        <v>5213.57145223552</v>
      </c>
      <c r="H62" s="43">
        <f t="shared" si="16"/>
        <v>8344.74597023292</v>
      </c>
      <c r="I62" s="43">
        <f t="shared" si="16"/>
        <v>8620.97098735186</v>
      </c>
      <c r="J62" s="43">
        <f t="shared" si="16"/>
        <v>9882.29904365265</v>
      </c>
      <c r="K62" s="43">
        <f t="shared" si="16"/>
        <v>9594.28502768859</v>
      </c>
      <c r="L62" s="43">
        <f t="shared" si="16"/>
        <v>15052.68498669</v>
      </c>
      <c r="M62" s="43">
        <f t="shared" si="16"/>
        <v>9604.81491129124</v>
      </c>
      <c r="N62" s="43">
        <f t="shared" si="16"/>
        <v>11152.4641593084</v>
      </c>
      <c r="O62" s="43">
        <f t="shared" si="16"/>
        <v>12677.7891468867</v>
      </c>
      <c r="P62" s="69">
        <v>123850.177920354</v>
      </c>
      <c r="Q62" s="41">
        <f t="shared" ref="Q62:Q67" si="17">C62-P62</f>
        <v>-16087.567308331</v>
      </c>
      <c r="R62" s="26">
        <v>75882.881553994</v>
      </c>
      <c r="S62" s="68">
        <f t="shared" ref="S62:S67" si="18">(C62-R62)/R62</f>
        <v>0.420117533825401</v>
      </c>
      <c r="T62" s="46">
        <f>C62/$C$61</f>
        <v>0.258363600532648</v>
      </c>
    </row>
    <row r="63" ht="17" customHeight="1" spans="2:20">
      <c r="B63" s="42" t="s">
        <v>35</v>
      </c>
      <c r="C63" s="43">
        <f>SUM(D63:O63)</f>
        <v>46476.7682517883</v>
      </c>
      <c r="D63" s="43">
        <v>5561.0165954</v>
      </c>
      <c r="E63" s="43">
        <v>3220.4209824</v>
      </c>
      <c r="F63" s="43">
        <f t="shared" ref="F63:O63" si="19">F5</f>
        <v>3883.757098</v>
      </c>
      <c r="G63" s="43">
        <f t="shared" si="19"/>
        <v>3271.9787136</v>
      </c>
      <c r="H63" s="43">
        <f t="shared" si="19"/>
        <v>3559.267788165</v>
      </c>
      <c r="I63" s="43">
        <f t="shared" si="19"/>
        <v>2596.691366612</v>
      </c>
      <c r="J63" s="43">
        <f t="shared" si="19"/>
        <v>3185.5075133247</v>
      </c>
      <c r="K63" s="43">
        <f t="shared" si="19"/>
        <v>2427.4487018496</v>
      </c>
      <c r="L63" s="43">
        <f t="shared" si="19"/>
        <v>3569.881427584</v>
      </c>
      <c r="M63" s="43">
        <f t="shared" si="19"/>
        <v>4004.00198331</v>
      </c>
      <c r="N63" s="43">
        <f t="shared" si="19"/>
        <v>5518.03855658039</v>
      </c>
      <c r="O63" s="43">
        <f t="shared" si="19"/>
        <v>5678.75752496262</v>
      </c>
      <c r="P63" s="69">
        <v>65416.12</v>
      </c>
      <c r="Q63" s="41">
        <f t="shared" si="17"/>
        <v>-18939.3517482117</v>
      </c>
      <c r="R63" s="26">
        <v>80633.8935786</v>
      </c>
      <c r="S63" s="68">
        <f t="shared" si="18"/>
        <v>-0.423607540339301</v>
      </c>
      <c r="T63" s="46">
        <f>C63/$C$61</f>
        <v>0.111429234299877</v>
      </c>
    </row>
    <row r="64" ht="17" customHeight="1" spans="2:20">
      <c r="B64" s="42" t="s">
        <v>114</v>
      </c>
      <c r="C64" s="43">
        <f>SUM(C7:C27)</f>
        <v>90654.4868259533</v>
      </c>
      <c r="D64" s="43">
        <f t="shared" ref="C64:O64" si="20">SUM(D7:D27)</f>
        <v>5441.761772</v>
      </c>
      <c r="E64" s="43">
        <f t="shared" si="20"/>
        <v>1658.9376</v>
      </c>
      <c r="F64" s="43">
        <f t="shared" si="20"/>
        <v>5789.986776</v>
      </c>
      <c r="G64" s="43">
        <f t="shared" si="20"/>
        <v>4190.5019952</v>
      </c>
      <c r="H64" s="43">
        <f t="shared" si="20"/>
        <v>5960.0879619825</v>
      </c>
      <c r="I64" s="43">
        <f t="shared" si="20"/>
        <v>7743.6411371592</v>
      </c>
      <c r="J64" s="43">
        <f t="shared" si="20"/>
        <v>12400.03977279</v>
      </c>
      <c r="K64" s="43">
        <f t="shared" si="20"/>
        <v>10408.8136610304</v>
      </c>
      <c r="L64" s="43">
        <f t="shared" si="20"/>
        <v>20467.623038318</v>
      </c>
      <c r="M64" s="43">
        <f t="shared" si="20"/>
        <v>7017.055414965</v>
      </c>
      <c r="N64" s="43">
        <f t="shared" si="20"/>
        <v>5405.0947661128</v>
      </c>
      <c r="O64" s="43">
        <f t="shared" si="20"/>
        <v>4170.9429303954</v>
      </c>
      <c r="P64" s="69">
        <v>90242.275</v>
      </c>
      <c r="Q64" s="41">
        <f t="shared" si="17"/>
        <v>412.211825953331</v>
      </c>
      <c r="R64" s="26">
        <v>36786.378549</v>
      </c>
      <c r="S64" s="68">
        <f t="shared" si="18"/>
        <v>1.46434931628837</v>
      </c>
      <c r="T64" s="46">
        <f>C64/$C$61</f>
        <v>0.217346438507492</v>
      </c>
    </row>
    <row r="65" ht="17" customHeight="1" spans="2:20">
      <c r="B65" s="42" t="s">
        <v>115</v>
      </c>
      <c r="C65" s="43">
        <f t="shared" ref="C65:O65" si="21">SUM(C28:C31)</f>
        <v>109228.974109832</v>
      </c>
      <c r="D65" s="43">
        <f t="shared" si="21"/>
        <v>5988.97088389381</v>
      </c>
      <c r="E65" s="43">
        <f t="shared" si="21"/>
        <v>5954.28880530973</v>
      </c>
      <c r="F65" s="43">
        <f t="shared" si="21"/>
        <v>6827.815947</v>
      </c>
      <c r="G65" s="43">
        <f t="shared" si="21"/>
        <v>3698.74336123894</v>
      </c>
      <c r="H65" s="43">
        <f t="shared" si="21"/>
        <v>5612.38034371681</v>
      </c>
      <c r="I65" s="43">
        <f t="shared" si="21"/>
        <v>6409.43804477876</v>
      </c>
      <c r="J65" s="43">
        <f t="shared" si="21"/>
        <v>10979.7636451327</v>
      </c>
      <c r="K65" s="43">
        <f t="shared" si="21"/>
        <v>21174.7670975222</v>
      </c>
      <c r="L65" s="43">
        <f t="shared" si="21"/>
        <v>22079.4500290266</v>
      </c>
      <c r="M65" s="43">
        <f t="shared" si="21"/>
        <v>9461.60030088497</v>
      </c>
      <c r="N65" s="43">
        <f t="shared" si="21"/>
        <v>7616.02442477877</v>
      </c>
      <c r="O65" s="43">
        <f t="shared" si="21"/>
        <v>3425.73122654867</v>
      </c>
      <c r="P65" s="69">
        <v>61700.0943951064</v>
      </c>
      <c r="Q65" s="41">
        <f t="shared" si="17"/>
        <v>47528.8797147255</v>
      </c>
      <c r="R65" s="26">
        <v>51904.3422859822</v>
      </c>
      <c r="S65" s="68">
        <f t="shared" si="18"/>
        <v>1.10442844084225</v>
      </c>
      <c r="T65" s="46">
        <f>C65/$C$61</f>
        <v>0.261879244324422</v>
      </c>
    </row>
    <row r="66" ht="17" customHeight="1" spans="2:20">
      <c r="B66" s="42" t="s">
        <v>116</v>
      </c>
      <c r="C66" s="43">
        <f t="shared" ref="C66:O66" si="22">SUM(C32:C34)</f>
        <v>24232.6286</v>
      </c>
      <c r="D66" s="43">
        <f t="shared" si="22"/>
        <v>2004.074</v>
      </c>
      <c r="E66" s="43">
        <f t="shared" si="22"/>
        <v>4438.93451061947</v>
      </c>
      <c r="F66" s="43">
        <f t="shared" si="22"/>
        <v>4596.87</v>
      </c>
      <c r="G66" s="43">
        <f t="shared" si="22"/>
        <v>2993.12266460177</v>
      </c>
      <c r="H66" s="43">
        <f t="shared" si="22"/>
        <v>2052.44324336283</v>
      </c>
      <c r="I66" s="43">
        <f t="shared" si="22"/>
        <v>1762.51982566371</v>
      </c>
      <c r="J66" s="43">
        <f t="shared" si="22"/>
        <v>2076.64702300885</v>
      </c>
      <c r="K66" s="43">
        <f t="shared" si="22"/>
        <v>1286.00513982301</v>
      </c>
      <c r="L66" s="43">
        <f t="shared" si="22"/>
        <v>461.624040707965</v>
      </c>
      <c r="M66" s="43">
        <f t="shared" si="22"/>
        <v>681.922141592921</v>
      </c>
      <c r="N66" s="43">
        <f t="shared" si="22"/>
        <v>771.478380530974</v>
      </c>
      <c r="O66" s="43">
        <f t="shared" si="22"/>
        <v>1106.9876300885</v>
      </c>
      <c r="P66" s="69">
        <v>16496.3085670796</v>
      </c>
      <c r="Q66" s="41">
        <f t="shared" si="17"/>
        <v>7736.3200329204</v>
      </c>
      <c r="R66" s="26">
        <v>16966.7013946902</v>
      </c>
      <c r="S66" s="68">
        <f t="shared" si="18"/>
        <v>0.428246306473202</v>
      </c>
      <c r="T66" s="46">
        <f>C66/$C$61</f>
        <v>0.0580983435711969</v>
      </c>
    </row>
    <row r="67" ht="17" customHeight="1" spans="2:20">
      <c r="B67" s="43" t="s">
        <v>117</v>
      </c>
      <c r="C67" s="43">
        <f t="shared" ref="C67:O67" si="23">SUM(C35:C42)</f>
        <v>38741.252616279</v>
      </c>
      <c r="D67" s="43">
        <f t="shared" si="23"/>
        <v>84.2705039823009</v>
      </c>
      <c r="E67" s="43">
        <f t="shared" si="23"/>
        <v>158.362831858407</v>
      </c>
      <c r="F67" s="43">
        <f t="shared" si="23"/>
        <v>138.9</v>
      </c>
      <c r="G67" s="43">
        <f t="shared" si="23"/>
        <v>0</v>
      </c>
      <c r="H67" s="43">
        <f t="shared" si="23"/>
        <v>387.686141841593</v>
      </c>
      <c r="I67" s="43">
        <f t="shared" si="23"/>
        <v>2010.83743362832</v>
      </c>
      <c r="J67" s="43">
        <f t="shared" si="23"/>
        <v>9063.5086036229</v>
      </c>
      <c r="K67" s="43">
        <f t="shared" si="23"/>
        <v>9424.23230315407</v>
      </c>
      <c r="L67" s="43">
        <f t="shared" si="23"/>
        <v>8738.68766179432</v>
      </c>
      <c r="M67" s="43">
        <f t="shared" si="23"/>
        <v>1992.5624294485</v>
      </c>
      <c r="N67" s="43">
        <f t="shared" si="23"/>
        <v>554.175929957407</v>
      </c>
      <c r="O67" s="43">
        <f t="shared" si="23"/>
        <v>6188.02877699116</v>
      </c>
      <c r="P67" s="69">
        <v>10004.9253982301</v>
      </c>
      <c r="Q67" s="41">
        <f t="shared" si="17"/>
        <v>28736.3272180489</v>
      </c>
      <c r="R67" s="26">
        <v>8556.93627050886</v>
      </c>
      <c r="S67" s="68">
        <f t="shared" si="18"/>
        <v>3.52746770474371</v>
      </c>
      <c r="T67" s="46">
        <f>C67/$C$61</f>
        <v>0.0928831387643645</v>
      </c>
    </row>
  </sheetData>
  <mergeCells count="8">
    <mergeCell ref="B2:B3"/>
    <mergeCell ref="B59:B60"/>
    <mergeCell ref="Q59:Q60"/>
    <mergeCell ref="R59:R60"/>
    <mergeCell ref="S3:S4"/>
    <mergeCell ref="S59:S60"/>
    <mergeCell ref="T3:T4"/>
    <mergeCell ref="T59:T6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opLeftCell="A16" workbookViewId="0">
      <selection activeCell="A1" sqref="A1:C8"/>
    </sheetView>
  </sheetViews>
  <sheetFormatPr defaultColWidth="9.1047619047619" defaultRowHeight="12.75" outlineLevelRow="7" outlineLevelCol="7"/>
  <cols>
    <col min="1" max="1" width="11.0761904761905" customWidth="1"/>
    <col min="2" max="2" width="12.8571428571429"/>
    <col min="3" max="3" width="16.0761904761905" customWidth="1"/>
    <col min="4" max="4" width="10.4380952380952" customWidth="1"/>
    <col min="5" max="5" width="15.8571428571429" customWidth="1"/>
    <col min="6" max="6" width="14"/>
    <col min="7" max="7" width="12.8571428571429"/>
    <col min="8" max="8" width="17.2857142857143" customWidth="1"/>
  </cols>
  <sheetData>
    <row r="1" spans="1:8">
      <c r="A1" s="27" t="s">
        <v>118</v>
      </c>
      <c r="B1" s="28" t="s">
        <v>119</v>
      </c>
      <c r="C1" s="28" t="s">
        <v>120</v>
      </c>
      <c r="D1" s="28" t="s">
        <v>121</v>
      </c>
      <c r="E1" s="28" t="s">
        <v>122</v>
      </c>
      <c r="F1" s="27" t="s">
        <v>123</v>
      </c>
      <c r="G1" s="27" t="s">
        <v>111</v>
      </c>
      <c r="H1" s="27" t="s">
        <v>124</v>
      </c>
    </row>
    <row r="2" spans="1:8">
      <c r="A2" s="27" t="s">
        <v>37</v>
      </c>
      <c r="B2" s="29">
        <v>107762.610612023</v>
      </c>
      <c r="C2" s="30">
        <f t="shared" ref="C2:C7" si="0">B2/$B$8</f>
        <v>0.258363600532648</v>
      </c>
      <c r="D2" s="29">
        <v>75882.881553994</v>
      </c>
      <c r="E2" s="30">
        <f t="shared" ref="E2:E7" si="1">D2/$D$8</f>
        <v>0.280288714991025</v>
      </c>
      <c r="F2" s="29">
        <f t="shared" ref="F2:F8" si="2">B2-D2</f>
        <v>31879.729058029</v>
      </c>
      <c r="G2" s="30">
        <f t="shared" ref="G2:G8" si="3">F2/D2</f>
        <v>0.420117533825401</v>
      </c>
      <c r="H2" s="31">
        <f t="shared" ref="H2:H7" si="4">C2-E2</f>
        <v>-0.021925114458377</v>
      </c>
    </row>
    <row r="3" spans="1:8">
      <c r="A3" s="27" t="s">
        <v>35</v>
      </c>
      <c r="B3" s="29">
        <v>46476.7682517883</v>
      </c>
      <c r="C3" s="30">
        <f t="shared" si="0"/>
        <v>0.111429234299877</v>
      </c>
      <c r="D3" s="29">
        <v>80633.8935786</v>
      </c>
      <c r="E3" s="30">
        <f t="shared" si="1"/>
        <v>0.297837535331172</v>
      </c>
      <c r="F3" s="29">
        <f t="shared" si="2"/>
        <v>-34157.1253268117</v>
      </c>
      <c r="G3" s="30">
        <f t="shared" si="3"/>
        <v>-0.423607540339301</v>
      </c>
      <c r="H3" s="31">
        <f t="shared" si="4"/>
        <v>-0.186408301031295</v>
      </c>
    </row>
    <row r="4" spans="1:8">
      <c r="A4" s="27" t="s">
        <v>114</v>
      </c>
      <c r="B4" s="29">
        <v>90654.4868259533</v>
      </c>
      <c r="C4" s="30">
        <f t="shared" si="0"/>
        <v>0.217346438507491</v>
      </c>
      <c r="D4" s="29">
        <v>36786.378549</v>
      </c>
      <c r="E4" s="30">
        <f t="shared" si="1"/>
        <v>0.135877902387458</v>
      </c>
      <c r="F4" s="29">
        <f t="shared" si="2"/>
        <v>53868.1082769533</v>
      </c>
      <c r="G4" s="30">
        <f t="shared" si="3"/>
        <v>1.46434931628837</v>
      </c>
      <c r="H4" s="31">
        <f t="shared" si="4"/>
        <v>0.0814685361200335</v>
      </c>
    </row>
    <row r="5" spans="1:8">
      <c r="A5" s="27" t="s">
        <v>115</v>
      </c>
      <c r="B5" s="29">
        <v>109228.974109832</v>
      </c>
      <c r="C5" s="30">
        <f t="shared" si="0"/>
        <v>0.261879244324422</v>
      </c>
      <c r="D5" s="29">
        <v>51904.3422859822</v>
      </c>
      <c r="E5" s="30">
        <f t="shared" si="1"/>
        <v>0.191719148032624</v>
      </c>
      <c r="F5" s="29">
        <f t="shared" si="2"/>
        <v>57324.6318238497</v>
      </c>
      <c r="G5" s="30">
        <f t="shared" si="3"/>
        <v>1.10442844084225</v>
      </c>
      <c r="H5" s="31">
        <f t="shared" si="4"/>
        <v>0.070160096291798</v>
      </c>
    </row>
    <row r="6" spans="1:8">
      <c r="A6" s="27" t="s">
        <v>116</v>
      </c>
      <c r="B6" s="29">
        <v>24232.6286</v>
      </c>
      <c r="C6" s="30">
        <f t="shared" si="0"/>
        <v>0.0580983435711968</v>
      </c>
      <c r="D6" s="29">
        <v>16966.7013946902</v>
      </c>
      <c r="E6" s="30">
        <f t="shared" si="1"/>
        <v>0.0626699307428165</v>
      </c>
      <c r="F6" s="29">
        <f t="shared" si="2"/>
        <v>7265.92720530976</v>
      </c>
      <c r="G6" s="30">
        <f t="shared" si="3"/>
        <v>0.428246306473198</v>
      </c>
      <c r="H6" s="31">
        <f t="shared" si="4"/>
        <v>-0.00457158717161971</v>
      </c>
    </row>
    <row r="7" spans="1:8">
      <c r="A7" s="27" t="s">
        <v>117</v>
      </c>
      <c r="B7" s="29">
        <v>38741.252616279</v>
      </c>
      <c r="C7" s="30">
        <f t="shared" si="0"/>
        <v>0.0928831387643644</v>
      </c>
      <c r="D7" s="29">
        <v>8556.93627050886</v>
      </c>
      <c r="E7" s="30">
        <f t="shared" si="1"/>
        <v>0.0316067685149047</v>
      </c>
      <c r="F7" s="29">
        <f t="shared" si="2"/>
        <v>30184.3163457701</v>
      </c>
      <c r="G7" s="30">
        <f t="shared" si="3"/>
        <v>3.52746770474372</v>
      </c>
      <c r="H7" s="31">
        <f t="shared" si="4"/>
        <v>0.0612763702494597</v>
      </c>
    </row>
    <row r="8" spans="1:8">
      <c r="A8" s="27" t="s">
        <v>33</v>
      </c>
      <c r="B8" s="29">
        <v>417096.721015876</v>
      </c>
      <c r="C8" s="29"/>
      <c r="D8" s="29">
        <v>270731.133632775</v>
      </c>
      <c r="E8" s="29"/>
      <c r="F8" s="29">
        <f t="shared" si="2"/>
        <v>146365.587383101</v>
      </c>
      <c r="G8" s="30">
        <f t="shared" si="3"/>
        <v>0.54063079269499</v>
      </c>
      <c r="H8" s="27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2" sqref="B2"/>
    </sheetView>
  </sheetViews>
  <sheetFormatPr defaultColWidth="9.1047619047619" defaultRowHeight="12.75" outlineLevelCol="1"/>
  <cols>
    <col min="1" max="1" width="11.2190476190476" customWidth="1"/>
  </cols>
  <sheetData>
    <row r="1" spans="1:2">
      <c r="A1" t="s">
        <v>125</v>
      </c>
      <c r="B1" t="s">
        <v>126</v>
      </c>
    </row>
    <row r="2" spans="1:2">
      <c r="A2" t="s">
        <v>127</v>
      </c>
      <c r="B2" s="26">
        <v>55902</v>
      </c>
    </row>
    <row r="3" spans="1:2">
      <c r="A3" t="s">
        <v>128</v>
      </c>
      <c r="B3" s="26">
        <v>13166</v>
      </c>
    </row>
    <row r="4" spans="1:2">
      <c r="A4" t="s">
        <v>129</v>
      </c>
      <c r="B4" s="26">
        <v>7102</v>
      </c>
    </row>
    <row r="5" spans="1:2">
      <c r="A5" t="s">
        <v>130</v>
      </c>
      <c r="B5" s="26">
        <v>3534</v>
      </c>
    </row>
    <row r="6" spans="1:2">
      <c r="A6" t="s">
        <v>131</v>
      </c>
      <c r="B6" s="26">
        <v>3189</v>
      </c>
    </row>
    <row r="7" spans="1:2">
      <c r="A7" t="s">
        <v>132</v>
      </c>
      <c r="B7" s="26">
        <v>2626</v>
      </c>
    </row>
    <row r="8" spans="1:2">
      <c r="A8" t="s">
        <v>133</v>
      </c>
      <c r="B8" s="26">
        <v>2138</v>
      </c>
    </row>
    <row r="9" spans="1:2">
      <c r="A9" t="s">
        <v>134</v>
      </c>
      <c r="B9" s="26">
        <v>1724</v>
      </c>
    </row>
    <row r="10" spans="1:2">
      <c r="A10" t="s">
        <v>135</v>
      </c>
      <c r="B10" s="26">
        <v>814</v>
      </c>
    </row>
    <row r="11" spans="1:2">
      <c r="A11" t="s">
        <v>136</v>
      </c>
      <c r="B11" s="26">
        <v>376</v>
      </c>
    </row>
    <row r="12" spans="1:2">
      <c r="A12" t="s">
        <v>137</v>
      </c>
      <c r="B12" s="26">
        <v>86</v>
      </c>
    </row>
    <row r="13" spans="1:2">
      <c r="B13" s="26">
        <f>SUM(B2:B12)</f>
        <v>90657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7"/>
  <sheetViews>
    <sheetView workbookViewId="0">
      <selection activeCell="A1" sqref="A1"/>
    </sheetView>
  </sheetViews>
  <sheetFormatPr defaultColWidth="14" defaultRowHeight="12.75"/>
  <cols>
    <col min="1" max="1" width="14" customWidth="1"/>
    <col min="2" max="12" width="11" customWidth="1"/>
    <col min="13" max="13" width="12" customWidth="1"/>
    <col min="14" max="14" width="11" customWidth="1"/>
    <col min="15" max="15" width="14" customWidth="1"/>
    <col min="16" max="17" width="12" customWidth="1"/>
    <col min="18" max="20" width="11" customWidth="1"/>
  </cols>
  <sheetData>
    <row r="1" ht="19" customHeight="1"/>
    <row r="2" ht="19" customHeight="1" spans="1:18">
      <c r="A2" s="1" t="s">
        <v>15</v>
      </c>
      <c r="B2" s="2" t="s">
        <v>138</v>
      </c>
      <c r="C2" s="3" t="s">
        <v>139</v>
      </c>
      <c r="D2" s="2" t="s">
        <v>0</v>
      </c>
      <c r="E2" s="2" t="s">
        <v>0</v>
      </c>
      <c r="F2" s="4" t="s">
        <v>109</v>
      </c>
      <c r="G2" s="2" t="s">
        <v>6</v>
      </c>
      <c r="H2" s="2" t="s">
        <v>6</v>
      </c>
      <c r="I2" s="5" t="s">
        <v>109</v>
      </c>
      <c r="J2" s="2" t="s">
        <v>11</v>
      </c>
      <c r="K2" s="2" t="s">
        <v>11</v>
      </c>
      <c r="L2" s="5" t="s">
        <v>109</v>
      </c>
      <c r="M2" s="2" t="s">
        <v>140</v>
      </c>
      <c r="O2" s="2" t="s">
        <v>141</v>
      </c>
      <c r="P2" s="2" t="s">
        <v>141</v>
      </c>
      <c r="Q2" s="5" t="s">
        <v>109</v>
      </c>
      <c r="R2" s="23" t="s">
        <v>142</v>
      </c>
    </row>
    <row r="3" ht="19" customHeight="1" spans="1:18">
      <c r="A3" s="1"/>
      <c r="B3" s="2" t="s">
        <v>143</v>
      </c>
      <c r="C3" s="3"/>
      <c r="D3" s="2" t="s">
        <v>143</v>
      </c>
      <c r="E3" s="2" t="s">
        <v>144</v>
      </c>
      <c r="F3" s="4"/>
      <c r="G3" s="2" t="s">
        <v>143</v>
      </c>
      <c r="H3" s="2" t="s">
        <v>145</v>
      </c>
      <c r="I3" s="5"/>
      <c r="J3" s="2" t="s">
        <v>143</v>
      </c>
      <c r="K3" s="2" t="s">
        <v>145</v>
      </c>
      <c r="L3" s="5"/>
      <c r="M3" s="2" t="s">
        <v>143</v>
      </c>
      <c r="O3" s="2" t="s">
        <v>143</v>
      </c>
      <c r="P3" s="2" t="s">
        <v>146</v>
      </c>
      <c r="Q3" s="5"/>
      <c r="R3" s="23"/>
    </row>
    <row r="4" ht="19" customHeight="1" spans="1:18">
      <c r="A4" s="6" t="s">
        <v>37</v>
      </c>
      <c r="B4" s="7">
        <f>B16</f>
        <v>123850.177920354</v>
      </c>
      <c r="C4" s="8">
        <f>B4/B15</f>
        <v>0.33681491167078</v>
      </c>
      <c r="D4" s="7">
        <f>C16</f>
        <v>18672.1125663717</v>
      </c>
      <c r="E4" s="7" t="e">
        <f>D16</f>
        <v>#REF!</v>
      </c>
      <c r="F4" s="7" t="e">
        <f t="shared" ref="F4:F9" si="0">E4-D4</f>
        <v>#REF!</v>
      </c>
      <c r="G4" s="7">
        <f>F16</f>
        <v>25162.1819469027</v>
      </c>
      <c r="H4" s="7" t="e">
        <f>'2025数据'!C62+'2025数据'!#REF!-E4</f>
        <v>#REF!</v>
      </c>
      <c r="I4" s="7" t="e">
        <f t="shared" ref="I4:I9" si="1">H4-G4</f>
        <v>#REF!</v>
      </c>
      <c r="J4" s="7">
        <f>I16</f>
        <v>42457.1584070797</v>
      </c>
      <c r="K4" s="7" t="e">
        <f>'2025数据'!#REF!+'2025数据'!#REF!+'2025数据'!#REF!</f>
        <v>#REF!</v>
      </c>
      <c r="L4" s="7" t="e">
        <f t="shared" ref="L4:L10" si="2">K4-J4</f>
        <v>#REF!</v>
      </c>
      <c r="M4" s="7">
        <f>J16</f>
        <v>37558.725</v>
      </c>
      <c r="O4" s="7">
        <f t="shared" ref="O4:O9" si="3">D4+G4+J4</f>
        <v>86291.4529203541</v>
      </c>
      <c r="P4" s="7" t="e">
        <f t="shared" ref="P4:P9" si="4">E4+H4+K4</f>
        <v>#REF!</v>
      </c>
      <c r="Q4" s="7" t="e">
        <f t="shared" ref="Q4:Q10" si="5">P4-O4</f>
        <v>#REF!</v>
      </c>
      <c r="R4" s="11" t="e">
        <f t="shared" ref="R4:R10" si="6">P4/B4</f>
        <v>#REF!</v>
      </c>
    </row>
    <row r="5" ht="19" customHeight="1" spans="1:18">
      <c r="A5" s="6" t="s">
        <v>35</v>
      </c>
      <c r="B5" s="7">
        <f>B17</f>
        <v>65416.12</v>
      </c>
      <c r="C5" s="8">
        <f>B5/367709.90128077</f>
        <v>0.177901437443346</v>
      </c>
      <c r="D5" s="7">
        <f>C17</f>
        <v>15695.4</v>
      </c>
      <c r="E5" s="7" t="e">
        <f>D17</f>
        <v>#REF!</v>
      </c>
      <c r="F5" s="7" t="e">
        <f t="shared" si="0"/>
        <v>#REF!</v>
      </c>
      <c r="G5" s="7">
        <f>F17</f>
        <v>15177.4</v>
      </c>
      <c r="H5" s="7" t="e">
        <f>'2025数据'!C63+'2025数据'!#REF!-E5</f>
        <v>#REF!</v>
      </c>
      <c r="I5" s="7" t="e">
        <f t="shared" si="1"/>
        <v>#REF!</v>
      </c>
      <c r="J5" s="7">
        <f>I17</f>
        <v>19693.8</v>
      </c>
      <c r="K5" s="7" t="e">
        <f>'2025数据'!#REF!+'2025数据'!#REF!+'2025数据'!#REF!</f>
        <v>#REF!</v>
      </c>
      <c r="L5" s="7" t="e">
        <f t="shared" si="2"/>
        <v>#REF!</v>
      </c>
      <c r="M5" s="7">
        <f>J17</f>
        <v>14849.52</v>
      </c>
      <c r="O5" s="7">
        <f t="shared" si="3"/>
        <v>50566.6</v>
      </c>
      <c r="P5" s="7" t="e">
        <f t="shared" si="4"/>
        <v>#REF!</v>
      </c>
      <c r="Q5" s="7" t="e">
        <f t="shared" si="5"/>
        <v>#REF!</v>
      </c>
      <c r="R5" s="11" t="e">
        <f t="shared" si="6"/>
        <v>#REF!</v>
      </c>
    </row>
    <row r="6" ht="19" customHeight="1" spans="1:18">
      <c r="A6" s="6" t="s">
        <v>147</v>
      </c>
      <c r="B6" s="7">
        <f>SUM(B18:B31)</f>
        <v>86249.825</v>
      </c>
      <c r="C6" s="8">
        <f>B6/367709.90128077</f>
        <v>0.234559430408546</v>
      </c>
      <c r="D6" s="7">
        <f>SUM(C18:C31)</f>
        <v>14273.819</v>
      </c>
      <c r="E6" s="7" t="e">
        <f>SUM(D18:D31)</f>
        <v>#REF!</v>
      </c>
      <c r="F6" s="7" t="e">
        <f t="shared" si="0"/>
        <v>#REF!</v>
      </c>
      <c r="G6" s="7">
        <f>SUM(F18:F31)</f>
        <v>19268.356</v>
      </c>
      <c r="H6" s="7" t="e">
        <f>'2025数据'!C64+'2025数据'!#REF!-E6</f>
        <v>#REF!</v>
      </c>
      <c r="I6" s="7" t="e">
        <f t="shared" si="1"/>
        <v>#REF!</v>
      </c>
      <c r="J6" s="7">
        <f>SUM(I18:I31)</f>
        <v>25834.26</v>
      </c>
      <c r="K6" s="7" t="e">
        <f>'2025数据'!#REF!+'2025数据'!#REF!+'2025数据'!#REF!</f>
        <v>#REF!</v>
      </c>
      <c r="L6" s="7" t="e">
        <f t="shared" si="2"/>
        <v>#REF!</v>
      </c>
      <c r="M6" s="7">
        <f>SUM(J18:J31)</f>
        <v>26873.39</v>
      </c>
      <c r="O6" s="7">
        <f t="shared" si="3"/>
        <v>59376.435</v>
      </c>
      <c r="P6" s="7" t="e">
        <f t="shared" si="4"/>
        <v>#REF!</v>
      </c>
      <c r="Q6" s="7" t="e">
        <f t="shared" si="5"/>
        <v>#REF!</v>
      </c>
      <c r="R6" s="11" t="e">
        <f t="shared" si="6"/>
        <v>#REF!</v>
      </c>
    </row>
    <row r="7" ht="19" customHeight="1" spans="1:18">
      <c r="A7" s="6" t="s">
        <v>115</v>
      </c>
      <c r="B7" s="7">
        <f>B32+B33+B35+B34</f>
        <v>61700.0943951064</v>
      </c>
      <c r="C7" s="8">
        <f>B7/367709.90128077</f>
        <v>0.167795575208062</v>
      </c>
      <c r="D7" s="7">
        <f>C32+C33+C35+C34</f>
        <v>16877.7532446815</v>
      </c>
      <c r="E7" s="7" t="e">
        <f>D32+D33+D35+D34</f>
        <v>#REF!</v>
      </c>
      <c r="F7" s="7" t="e">
        <f t="shared" si="0"/>
        <v>#REF!</v>
      </c>
      <c r="G7" s="7">
        <f>F32+F33+F35+F34</f>
        <v>14985.545044242</v>
      </c>
      <c r="H7" s="7" t="e">
        <f>'2025数据'!C65+'2025数据'!#REF!-E7</f>
        <v>#REF!</v>
      </c>
      <c r="I7" s="7" t="e">
        <f t="shared" si="1"/>
        <v>#REF!</v>
      </c>
      <c r="J7" s="7">
        <f>I32+I33+I35+I34</f>
        <v>15177.2929645959</v>
      </c>
      <c r="K7" s="7" t="e">
        <f>'2025数据'!#REF!+'2025数据'!#REF!+'2025数据'!#REF!</f>
        <v>#REF!</v>
      </c>
      <c r="L7" s="7" t="e">
        <f t="shared" si="2"/>
        <v>#REF!</v>
      </c>
      <c r="M7" s="7">
        <f>J32+J33+J35+J34</f>
        <v>14659.5031415871</v>
      </c>
      <c r="O7" s="7">
        <f t="shared" si="3"/>
        <v>47040.5912535194</v>
      </c>
      <c r="P7" s="7" t="e">
        <f t="shared" si="4"/>
        <v>#REF!</v>
      </c>
      <c r="Q7" s="7" t="e">
        <f t="shared" si="5"/>
        <v>#REF!</v>
      </c>
      <c r="R7" s="11" t="e">
        <f t="shared" si="6"/>
        <v>#REF!</v>
      </c>
    </row>
    <row r="8" ht="19" customHeight="1" spans="1:18">
      <c r="A8" s="6" t="s">
        <v>116</v>
      </c>
      <c r="B8" s="7">
        <f>B36+B37+B38</f>
        <v>16496.3085670796</v>
      </c>
      <c r="C8" s="8">
        <f>B8/367709.90128077</f>
        <v>0.044862290924507</v>
      </c>
      <c r="D8" s="7">
        <f>C36+C37+C38</f>
        <v>10370.1514874336</v>
      </c>
      <c r="E8" s="7" t="e">
        <f>D36+D37+D38+D39</f>
        <v>#REF!</v>
      </c>
      <c r="F8" s="7" t="e">
        <f t="shared" si="0"/>
        <v>#REF!</v>
      </c>
      <c r="G8" s="7">
        <f>F36+F37+F38</f>
        <v>4634.56345132743</v>
      </c>
      <c r="H8" s="7" t="e">
        <f>'2025数据'!C66+'2025数据'!#REF!-E8</f>
        <v>#REF!</v>
      </c>
      <c r="I8" s="7" t="e">
        <f t="shared" si="1"/>
        <v>#REF!</v>
      </c>
      <c r="J8" s="7">
        <f>I36+I37+I38</f>
        <v>1303.47345132743</v>
      </c>
      <c r="K8" s="7" t="e">
        <f>'2025数据'!#REF!+'2025数据'!#REF!+'2025数据'!#REF!</f>
        <v>#REF!</v>
      </c>
      <c r="L8" s="7" t="e">
        <f t="shared" si="2"/>
        <v>#REF!</v>
      </c>
      <c r="M8" s="7">
        <f>J36+J37+J38</f>
        <v>188.12017699115</v>
      </c>
      <c r="O8" s="7">
        <f t="shared" si="3"/>
        <v>16308.1883900885</v>
      </c>
      <c r="P8" s="7" t="e">
        <f t="shared" si="4"/>
        <v>#REF!</v>
      </c>
      <c r="Q8" s="7" t="e">
        <f t="shared" si="5"/>
        <v>#REF!</v>
      </c>
      <c r="R8" s="11" t="e">
        <f t="shared" si="6"/>
        <v>#REF!</v>
      </c>
    </row>
    <row r="9" ht="19" customHeight="1" spans="1:18">
      <c r="A9" s="6" t="s">
        <v>106</v>
      </c>
      <c r="B9" s="7">
        <f>B42+B40+B41+B43+B44+B45+B46</f>
        <v>13997.3753982301</v>
      </c>
      <c r="C9" s="8">
        <f>B9/367709.90128077</f>
        <v>0.0380663543447588</v>
      </c>
      <c r="D9" s="7">
        <f>C42+C40+C41+C43+C44+C45+C46</f>
        <v>301.509823008849</v>
      </c>
      <c r="E9" s="7" t="e">
        <f>D42+D40+D41+D43+D44+D45+D46</f>
        <v>#REF!</v>
      </c>
      <c r="F9" s="7" t="e">
        <f t="shared" si="0"/>
        <v>#REF!</v>
      </c>
      <c r="G9" s="7">
        <f>F42+F40+F41+F43+F44+F45+F46</f>
        <v>2265.29203539822</v>
      </c>
      <c r="H9" s="7" t="e">
        <f>'2025数据'!C67+'2025数据'!#REF!-E9</f>
        <v>#REF!</v>
      </c>
      <c r="I9" s="7" t="e">
        <f t="shared" si="1"/>
        <v>#REF!</v>
      </c>
      <c r="J9" s="7">
        <f>I42+I40+I41+I43+I44+I45+I46</f>
        <v>5130.43805309733</v>
      </c>
      <c r="K9" s="7" t="e">
        <f>'2025数据'!#REF!+'2025数据'!#REF!+'2025数据'!#REF!</f>
        <v>#REF!</v>
      </c>
      <c r="L9" s="7" t="e">
        <f t="shared" si="2"/>
        <v>#REF!</v>
      </c>
      <c r="M9" s="7">
        <f>J42+J40+J41+J43+J44+J45+J46</f>
        <v>6300.13548672565</v>
      </c>
      <c r="O9" s="7">
        <f t="shared" si="3"/>
        <v>7697.2399115044</v>
      </c>
      <c r="P9" s="7" t="e">
        <f t="shared" si="4"/>
        <v>#REF!</v>
      </c>
      <c r="Q9" s="7" t="e">
        <f t="shared" si="5"/>
        <v>#REF!</v>
      </c>
      <c r="R9" s="11" t="e">
        <f t="shared" si="6"/>
        <v>#REF!</v>
      </c>
    </row>
    <row r="10" ht="19" customHeight="1" spans="1:18">
      <c r="A10" s="6" t="s">
        <v>107</v>
      </c>
      <c r="B10" s="7">
        <f>SUM(B4:B9)</f>
        <v>367709.90128077</v>
      </c>
      <c r="C10" s="7"/>
      <c r="D10" s="7">
        <f t="shared" ref="D10:K10" si="7">SUM(D4:D9)</f>
        <v>76190.7461214956</v>
      </c>
      <c r="E10" s="7" t="e">
        <f t="shared" si="7"/>
        <v>#REF!</v>
      </c>
      <c r="F10" s="7" t="e">
        <f t="shared" si="7"/>
        <v>#REF!</v>
      </c>
      <c r="G10" s="7">
        <f t="shared" si="7"/>
        <v>81493.3384778703</v>
      </c>
      <c r="H10" s="7" t="e">
        <f t="shared" si="7"/>
        <v>#REF!</v>
      </c>
      <c r="I10" s="7" t="e">
        <f t="shared" si="7"/>
        <v>#REF!</v>
      </c>
      <c r="J10" s="7">
        <f t="shared" si="7"/>
        <v>109596.4228761</v>
      </c>
      <c r="K10" s="7" t="e">
        <f t="shared" si="7"/>
        <v>#REF!</v>
      </c>
      <c r="L10" s="7" t="e">
        <f t="shared" si="2"/>
        <v>#REF!</v>
      </c>
      <c r="M10" s="7">
        <f>SUM(M4:M9)</f>
        <v>100429.393805304</v>
      </c>
      <c r="O10" s="10">
        <f>SUM(O4:O9)</f>
        <v>267280.507475466</v>
      </c>
      <c r="P10" s="10" t="e">
        <f>SUM(P4:P9)</f>
        <v>#REF!</v>
      </c>
      <c r="Q10" s="10" t="e">
        <f t="shared" si="5"/>
        <v>#REF!</v>
      </c>
      <c r="R10" s="11" t="e">
        <f t="shared" si="6"/>
        <v>#REF!</v>
      </c>
    </row>
    <row r="11" ht="19" customHeight="1" spans="1:18">
      <c r="A11" s="6"/>
      <c r="B11" s="7"/>
      <c r="C11" s="8"/>
      <c r="D11" s="8">
        <f>D10/$B$10</f>
        <v>0.207203411863852</v>
      </c>
      <c r="E11" s="8" t="e">
        <f>E10/$B$10</f>
        <v>#REF!</v>
      </c>
      <c r="F11" s="8"/>
      <c r="G11" s="8">
        <f>G10/$B$10</f>
        <v>0.221623998140983</v>
      </c>
      <c r="H11" s="8" t="e">
        <f>H10/$B$10</f>
        <v>#REF!</v>
      </c>
      <c r="I11" s="8"/>
      <c r="J11" s="8">
        <f>J10/$B$10</f>
        <v>0.298051323867987</v>
      </c>
      <c r="K11" s="8"/>
      <c r="L11" s="8"/>
      <c r="M11" s="8">
        <f>M10/$B$10</f>
        <v>0.273121266127179</v>
      </c>
      <c r="N11" s="8"/>
      <c r="O11" s="8">
        <f>O10/$B$10</f>
        <v>0.726878733872821</v>
      </c>
      <c r="P11" s="8" t="e">
        <f>P10/$B$10</f>
        <v>#REF!</v>
      </c>
    </row>
    <row r="12" ht="19" customHeight="1"/>
    <row r="13" ht="19" customHeight="1" spans="1:18">
      <c r="A13" s="1" t="s">
        <v>15</v>
      </c>
      <c r="B13" s="2" t="s">
        <v>138</v>
      </c>
      <c r="C13" s="2" t="s">
        <v>0</v>
      </c>
      <c r="D13" s="2" t="s">
        <v>0</v>
      </c>
      <c r="E13" s="4" t="s">
        <v>109</v>
      </c>
      <c r="F13" s="2" t="s">
        <v>6</v>
      </c>
      <c r="G13" s="2" t="s">
        <v>6</v>
      </c>
      <c r="H13" s="5" t="s">
        <v>109</v>
      </c>
      <c r="I13" s="2" t="s">
        <v>11</v>
      </c>
      <c r="J13" s="2" t="s">
        <v>140</v>
      </c>
      <c r="K13" s="2"/>
      <c r="L13" s="2"/>
      <c r="M13" s="2" t="s">
        <v>148</v>
      </c>
      <c r="N13" s="2" t="s">
        <v>149</v>
      </c>
      <c r="O13" s="2" t="s">
        <v>150</v>
      </c>
    </row>
    <row r="14" ht="19" customHeight="1" spans="1:18">
      <c r="A14" s="1"/>
      <c r="B14" s="2" t="s">
        <v>143</v>
      </c>
      <c r="C14" s="2" t="s">
        <v>143</v>
      </c>
      <c r="D14" s="2" t="s">
        <v>144</v>
      </c>
      <c r="E14" s="4"/>
      <c r="F14" s="2" t="s">
        <v>143</v>
      </c>
      <c r="G14" s="2" t="s">
        <v>151</v>
      </c>
      <c r="H14" s="5"/>
      <c r="I14" s="2" t="s">
        <v>143</v>
      </c>
      <c r="J14" s="2" t="s">
        <v>143</v>
      </c>
      <c r="K14" s="2"/>
      <c r="L14" s="2"/>
      <c r="M14" s="2"/>
      <c r="N14" s="2"/>
      <c r="O14" s="2"/>
    </row>
    <row r="15" ht="19" customHeight="1" spans="1:18">
      <c r="A15" s="12" t="s">
        <v>33</v>
      </c>
      <c r="B15" s="13">
        <f t="shared" ref="B15:J15" si="8">SUM(B16:B46)</f>
        <v>367709.90128077</v>
      </c>
      <c r="C15" s="13">
        <f t="shared" si="8"/>
        <v>76190.7461214956</v>
      </c>
      <c r="D15" s="13" t="e">
        <f t="shared" si="8"/>
        <v>#REF!</v>
      </c>
      <c r="E15" s="13" t="e">
        <f t="shared" si="8"/>
        <v>#REF!</v>
      </c>
      <c r="F15" s="13">
        <f t="shared" si="8"/>
        <v>81493.3384778703</v>
      </c>
      <c r="G15" s="13" t="e">
        <f t="shared" si="8"/>
        <v>#REF!</v>
      </c>
      <c r="H15" s="10" t="e">
        <f t="shared" si="8"/>
        <v>#REF!</v>
      </c>
      <c r="I15" s="10">
        <f t="shared" si="8"/>
        <v>109596.4228761</v>
      </c>
      <c r="J15" s="10">
        <f t="shared" si="8"/>
        <v>100429.393805304</v>
      </c>
      <c r="K15" s="10"/>
      <c r="L15" s="10"/>
    </row>
    <row r="16" ht="19" customHeight="1" spans="1:18">
      <c r="A16" s="14" t="s">
        <v>37</v>
      </c>
      <c r="B16" s="14">
        <v>123850.177920354</v>
      </c>
      <c r="C16" s="14">
        <v>18672.1125663717</v>
      </c>
      <c r="D16" s="14" t="e">
        <f>VLOOKUP(A16,'2025数据'!B:D,5,0)+VLOOKUP(A16,'2025数据'!B:E,6,0)+VLOOKUP(A16,'2025数据'!B:O,7,0)</f>
        <v>#REF!</v>
      </c>
      <c r="E16" s="15" t="e">
        <f t="shared" ref="E16:E46" si="9">D16-C16</f>
        <v>#REF!</v>
      </c>
      <c r="F16" s="14">
        <v>25162.1819469027</v>
      </c>
      <c r="G16" s="14" t="e">
        <f>VLOOKUP(A16,'2025数据'!B:O,18,0)+VLOOKUP(A16,'2025数据'!B:G,8,0)+VLOOKUP(A16,'2025数据'!B:O,17,0)</f>
        <v>#REF!</v>
      </c>
      <c r="H16" s="7" t="e">
        <f t="shared" ref="H16:H46" si="10">G16-F16</f>
        <v>#REF!</v>
      </c>
      <c r="I16" s="14">
        <v>42457.1584070797</v>
      </c>
      <c r="J16" s="14">
        <v>37558.725</v>
      </c>
      <c r="K16" s="14"/>
      <c r="L16" s="14"/>
    </row>
    <row r="17" ht="19" customHeight="1" spans="1:20">
      <c r="A17" s="14" t="s">
        <v>35</v>
      </c>
      <c r="B17" s="14">
        <v>65416.12</v>
      </c>
      <c r="C17" s="14">
        <v>15695.4</v>
      </c>
      <c r="D17" s="14" t="e">
        <f>VLOOKUP(A17,'2025数据'!B:D,5,0)+VLOOKUP(A17,'2025数据'!B:E,6,0)+VLOOKUP(A17,'2025数据'!B:O,7,0)</f>
        <v>#REF!</v>
      </c>
      <c r="E17" s="15" t="e">
        <f t="shared" si="9"/>
        <v>#REF!</v>
      </c>
      <c r="F17" s="14">
        <v>15177.4</v>
      </c>
      <c r="G17" s="14" t="e">
        <f>VLOOKUP(A17,'2025数据'!B:O,18,0)+VLOOKUP(A17,'2025数据'!B:G,8,0)+VLOOKUP(A17,'2025数据'!B:O,17,0)</f>
        <v>#REF!</v>
      </c>
      <c r="H17" s="7" t="e">
        <f t="shared" si="10"/>
        <v>#REF!</v>
      </c>
      <c r="I17" s="14">
        <v>19693.8</v>
      </c>
      <c r="J17" s="14">
        <v>14849.52</v>
      </c>
      <c r="K17" s="14"/>
      <c r="L17" s="14"/>
    </row>
    <row r="18" ht="19" customHeight="1" spans="1:20">
      <c r="A18" s="16" t="s">
        <v>43</v>
      </c>
      <c r="B18" s="16">
        <v>5762.68</v>
      </c>
      <c r="C18" s="16">
        <v>2048.9</v>
      </c>
      <c r="D18" s="16" t="e">
        <f>VLOOKUP(A18,'2025数据'!B:D,5,0)+VLOOKUP(A18,'2025数据'!B:E,6,0)+VLOOKUP(A18,'2025数据'!B:O,7,0)</f>
        <v>#REF!</v>
      </c>
      <c r="E18" s="17" t="e">
        <f t="shared" si="9"/>
        <v>#REF!</v>
      </c>
      <c r="F18" s="16">
        <v>1624.14</v>
      </c>
      <c r="G18" s="14" t="e">
        <f>VLOOKUP(A18,'2025数据'!B:O,18,0)+VLOOKUP(A18,'2025数据'!B:G,8,0)+VLOOKUP(A18,'2025数据'!B:O,17,0)</f>
        <v>#REF!</v>
      </c>
      <c r="H18" s="18" t="e">
        <f t="shared" si="10"/>
        <v>#REF!</v>
      </c>
      <c r="I18" s="16">
        <v>1417.64</v>
      </c>
      <c r="J18" s="16">
        <v>672</v>
      </c>
      <c r="K18" s="16"/>
      <c r="L18" s="16"/>
      <c r="M18" s="24">
        <f t="shared" ref="M18:M31" si="11">B18/$B$6</f>
        <v>0.0668138167236861</v>
      </c>
      <c r="N18" s="24" t="e">
        <f t="shared" ref="N18:N31" si="12">D18/$E$6</f>
        <v>#REF!</v>
      </c>
      <c r="O18" s="24" t="e">
        <f t="shared" ref="O18:O31" si="13">G18/$H$6</f>
        <v>#REF!</v>
      </c>
    </row>
    <row r="19" ht="19" customHeight="1" spans="1:20">
      <c r="A19" s="16" t="s">
        <v>49</v>
      </c>
      <c r="B19" s="16">
        <v>5635</v>
      </c>
      <c r="C19" s="16">
        <v>1820</v>
      </c>
      <c r="D19" s="16" t="e">
        <f>VLOOKUP(A19,'2025数据'!B:D,5,0)+VLOOKUP(A19,'2025数据'!B:E,6,0)+VLOOKUP(A19,'2025数据'!B:O,7,0)</f>
        <v>#REF!</v>
      </c>
      <c r="E19" s="17" t="e">
        <f t="shared" si="9"/>
        <v>#REF!</v>
      </c>
      <c r="F19" s="16">
        <v>2450</v>
      </c>
      <c r="G19" s="14" t="e">
        <f>VLOOKUP(A19,'2025数据'!B:O,18,0)+VLOOKUP(A19,'2025数据'!B:G,8,0)+VLOOKUP(A19,'2025数据'!B:O,17,0)</f>
        <v>#REF!</v>
      </c>
      <c r="H19" s="18" t="e">
        <f t="shared" si="10"/>
        <v>#REF!</v>
      </c>
      <c r="I19" s="16">
        <v>1050</v>
      </c>
      <c r="J19" s="16">
        <v>315</v>
      </c>
      <c r="K19" s="16"/>
      <c r="L19" s="16"/>
      <c r="M19" s="24">
        <f t="shared" si="11"/>
        <v>0.0653334658939888</v>
      </c>
      <c r="N19" s="24" t="e">
        <f t="shared" si="12"/>
        <v>#REF!</v>
      </c>
      <c r="O19" s="24" t="e">
        <f t="shared" si="13"/>
        <v>#REF!</v>
      </c>
    </row>
    <row r="20" ht="19" customHeight="1" spans="1:20">
      <c r="A20" s="16" t="s">
        <v>64</v>
      </c>
      <c r="B20" s="16">
        <v>4239.69</v>
      </c>
      <c r="C20" s="16">
        <v>791.28</v>
      </c>
      <c r="D20" s="16" t="e">
        <f>VLOOKUP(A20,'2025数据'!B:D,5,0)+VLOOKUP(A20,'2025数据'!B:E,6,0)+VLOOKUP(A20,'2025数据'!B:O,7,0)</f>
        <v>#REF!</v>
      </c>
      <c r="E20" s="17" t="e">
        <f t="shared" si="9"/>
        <v>#REF!</v>
      </c>
      <c r="F20" s="16">
        <v>1176.28</v>
      </c>
      <c r="G20" s="14" t="e">
        <f>VLOOKUP(A20,'2025数据'!B:O,18,0)+VLOOKUP(A20,'2025数据'!B:G,8,0)+VLOOKUP(A20,'2025数据'!B:O,17,0)</f>
        <v>#REF!</v>
      </c>
      <c r="H20" s="18" t="e">
        <f t="shared" si="10"/>
        <v>#REF!</v>
      </c>
      <c r="I20" s="16">
        <v>1561.28</v>
      </c>
      <c r="J20" s="16">
        <v>710.85</v>
      </c>
      <c r="K20" s="16"/>
      <c r="L20" s="16"/>
      <c r="M20" s="24">
        <f t="shared" si="11"/>
        <v>0.0491559258236176</v>
      </c>
      <c r="N20" s="24" t="e">
        <f t="shared" si="12"/>
        <v>#REF!</v>
      </c>
      <c r="O20" s="24" t="e">
        <f t="shared" si="13"/>
        <v>#REF!</v>
      </c>
    </row>
    <row r="21" ht="19" customHeight="1" spans="1:20">
      <c r="A21" s="16" t="s">
        <v>152</v>
      </c>
      <c r="B21" s="16">
        <v>2408</v>
      </c>
      <c r="C21" s="16">
        <v>0</v>
      </c>
      <c r="D21" s="16" t="e">
        <f>VLOOKUP(A21,'2025数据'!B:D,5,0)+VLOOKUP(A21,'2025数据'!B:E,6,0)+VLOOKUP(A21,'2025数据'!B:O,7,0)</f>
        <v>#N/A</v>
      </c>
      <c r="E21" s="17" t="e">
        <f t="shared" si="9"/>
        <v>#N/A</v>
      </c>
      <c r="F21" s="16">
        <v>1204</v>
      </c>
      <c r="G21" s="14" t="e">
        <f>VLOOKUP(A21,'2025数据'!B:O,18,0)+VLOOKUP(A21,'2025数据'!B:G,8,0)+VLOOKUP(A21,'2025数据'!B:O,17,0)</f>
        <v>#N/A</v>
      </c>
      <c r="H21" s="18" t="e">
        <f t="shared" si="10"/>
        <v>#N/A</v>
      </c>
      <c r="I21" s="16">
        <v>1204</v>
      </c>
      <c r="J21" s="16">
        <v>0</v>
      </c>
      <c r="K21" s="16"/>
      <c r="L21" s="16"/>
      <c r="M21" s="24">
        <f t="shared" si="11"/>
        <v>0.027918897226748</v>
      </c>
      <c r="N21" s="24" t="e">
        <f t="shared" si="12"/>
        <v>#N/A</v>
      </c>
      <c r="O21" s="24" t="e">
        <f t="shared" si="13"/>
        <v>#N/A</v>
      </c>
    </row>
    <row r="22" ht="19" customHeight="1" spans="1:20">
      <c r="A22" s="16" t="s">
        <v>50</v>
      </c>
      <c r="B22" s="16">
        <v>1540</v>
      </c>
      <c r="C22" s="16">
        <v>385</v>
      </c>
      <c r="D22" s="16" t="e">
        <f>VLOOKUP(A22,'2025数据'!B:D,5,0)+VLOOKUP(A22,'2025数据'!B:E,6,0)+VLOOKUP(A22,'2025数据'!B:O,7,0)</f>
        <v>#REF!</v>
      </c>
      <c r="E22" s="17" t="e">
        <f t="shared" si="9"/>
        <v>#REF!</v>
      </c>
      <c r="F22" s="16">
        <v>770</v>
      </c>
      <c r="G22" s="14" t="e">
        <f>VLOOKUP(A22,'2025数据'!B:O,18,0)+VLOOKUP(A22,'2025数据'!B:G,8,0)+VLOOKUP(A22,'2025数据'!B:O,17,0)</f>
        <v>#REF!</v>
      </c>
      <c r="H22" s="18" t="e">
        <f t="shared" si="10"/>
        <v>#REF!</v>
      </c>
      <c r="I22" s="16">
        <v>385</v>
      </c>
      <c r="J22" s="16">
        <v>0</v>
      </c>
      <c r="K22" s="16"/>
      <c r="L22" s="16"/>
      <c r="M22" s="24">
        <f t="shared" si="11"/>
        <v>0.0178551086915249</v>
      </c>
      <c r="N22" s="24" t="e">
        <f t="shared" si="12"/>
        <v>#REF!</v>
      </c>
      <c r="O22" s="24" t="e">
        <f t="shared" si="13"/>
        <v>#REF!</v>
      </c>
    </row>
    <row r="23" ht="19" customHeight="1" spans="1:20">
      <c r="A23" s="16" t="s">
        <v>39</v>
      </c>
      <c r="B23" s="16">
        <v>34974.1</v>
      </c>
      <c r="C23" s="16">
        <v>4483.5</v>
      </c>
      <c r="D23" s="16" t="e">
        <f>VLOOKUP(A23,'2025数据'!B:D,5,0)+VLOOKUP(A23,'2025数据'!B:E,6,0)+VLOOKUP(A23,'2025数据'!B:O,7,0)</f>
        <v>#REF!</v>
      </c>
      <c r="E23" s="17" t="e">
        <f t="shared" si="9"/>
        <v>#REF!</v>
      </c>
      <c r="F23" s="16">
        <v>5087.6</v>
      </c>
      <c r="G23" s="14" t="e">
        <f>VLOOKUP(A23,'2025数据'!B:O,18,0)+VLOOKUP(A23,'2025数据'!B:G,8,0)+VLOOKUP(A23,'2025数据'!B:O,17,0)</f>
        <v>#REF!</v>
      </c>
      <c r="H23" s="18" t="e">
        <f t="shared" si="10"/>
        <v>#REF!</v>
      </c>
      <c r="I23" s="16">
        <v>8687</v>
      </c>
      <c r="J23" s="16">
        <v>16716</v>
      </c>
      <c r="K23" s="16"/>
      <c r="L23" s="16"/>
      <c r="M23" s="24">
        <f t="shared" si="11"/>
        <v>0.405497634343026</v>
      </c>
      <c r="N23" s="25" t="e">
        <f t="shared" si="12"/>
        <v>#REF!</v>
      </c>
      <c r="O23" s="25" t="e">
        <f t="shared" si="13"/>
        <v>#REF!</v>
      </c>
    </row>
    <row r="24" ht="19" customHeight="1" spans="1:20">
      <c r="A24" s="16" t="s">
        <v>41</v>
      </c>
      <c r="B24" s="16">
        <v>4631.2</v>
      </c>
      <c r="C24" s="16">
        <v>1311.1</v>
      </c>
      <c r="D24" s="16" t="e">
        <f>VLOOKUP(A24,'2025数据'!B:D,5,0)+VLOOKUP(A24,'2025数据'!B:E,6,0)+VLOOKUP(A24,'2025数据'!B:O,7,0)</f>
        <v>#REF!</v>
      </c>
      <c r="E24" s="17" t="e">
        <f t="shared" si="9"/>
        <v>#REF!</v>
      </c>
      <c r="F24" s="16">
        <v>966</v>
      </c>
      <c r="G24" s="14" t="e">
        <f>VLOOKUP(A24,'2025数据'!B:O,18,0)+VLOOKUP(A24,'2025数据'!B:G,8,0)+VLOOKUP(A24,'2025数据'!B:O,17,0)</f>
        <v>#REF!</v>
      </c>
      <c r="H24" s="18" t="e">
        <f t="shared" si="10"/>
        <v>#REF!</v>
      </c>
      <c r="I24" s="16">
        <v>1493.1</v>
      </c>
      <c r="J24" s="16">
        <v>861</v>
      </c>
      <c r="K24" s="16"/>
      <c r="L24" s="16"/>
      <c r="M24" s="24">
        <f t="shared" si="11"/>
        <v>0.053695181410513</v>
      </c>
      <c r="N24" s="24" t="e">
        <f t="shared" si="12"/>
        <v>#REF!</v>
      </c>
      <c r="O24" s="24" t="e">
        <f t="shared" si="13"/>
        <v>#REF!</v>
      </c>
    </row>
    <row r="25" ht="19" customHeight="1" spans="1:20">
      <c r="A25" s="16" t="s">
        <v>47</v>
      </c>
      <c r="B25" s="16">
        <v>3185.875</v>
      </c>
      <c r="C25" s="16">
        <v>1218.875</v>
      </c>
      <c r="D25" s="16" t="e">
        <f>VLOOKUP(A25,'2025数据'!B:D,5,0)+VLOOKUP(A25,'2025数据'!B:E,6,0)+VLOOKUP(A25,'2025数据'!B:O,7,0)</f>
        <v>#REF!</v>
      </c>
      <c r="E25" s="17" t="e">
        <f t="shared" si="9"/>
        <v>#REF!</v>
      </c>
      <c r="F25" s="16">
        <v>861</v>
      </c>
      <c r="G25" s="14" t="e">
        <f>VLOOKUP(A25,'2025数据'!B:O,18,0)+VLOOKUP(A25,'2025数据'!B:G,8,0)+VLOOKUP(A25,'2025数据'!B:O,17,0)</f>
        <v>#REF!</v>
      </c>
      <c r="H25" s="18" t="e">
        <f t="shared" si="10"/>
        <v>#REF!</v>
      </c>
      <c r="I25" s="16">
        <v>1106</v>
      </c>
      <c r="J25" s="16">
        <v>0</v>
      </c>
      <c r="K25" s="16"/>
      <c r="L25" s="16"/>
      <c r="M25" s="24">
        <f t="shared" si="11"/>
        <v>0.0369377561055921</v>
      </c>
      <c r="N25" s="24" t="e">
        <f t="shared" si="12"/>
        <v>#REF!</v>
      </c>
      <c r="O25" s="24" t="e">
        <f t="shared" si="13"/>
        <v>#REF!</v>
      </c>
    </row>
    <row r="26" ht="19" customHeight="1" spans="1:20">
      <c r="A26" s="16" t="s">
        <v>52</v>
      </c>
      <c r="B26" s="16">
        <v>2128</v>
      </c>
      <c r="C26" s="16">
        <v>322</v>
      </c>
      <c r="D26" s="16" t="e">
        <f>VLOOKUP(A26,'2025数据'!B:D,5,0)+VLOOKUP(A26,'2025数据'!B:E,6,0)+VLOOKUP(A26,'2025数据'!B:O,7,0)</f>
        <v>#REF!</v>
      </c>
      <c r="E26" s="17" t="e">
        <f t="shared" si="9"/>
        <v>#REF!</v>
      </c>
      <c r="F26" s="16">
        <v>322</v>
      </c>
      <c r="G26" s="14" t="e">
        <f>VLOOKUP(A26,'2025数据'!B:O,18,0)+VLOOKUP(A26,'2025数据'!B:G,8,0)+VLOOKUP(A26,'2025数据'!B:O,17,0)</f>
        <v>#REF!</v>
      </c>
      <c r="H26" s="18" t="e">
        <f t="shared" si="10"/>
        <v>#REF!</v>
      </c>
      <c r="I26" s="16">
        <v>924</v>
      </c>
      <c r="J26" s="16">
        <v>560</v>
      </c>
      <c r="K26" s="16"/>
      <c r="L26" s="16"/>
      <c r="M26" s="24">
        <f t="shared" si="11"/>
        <v>0.0246725138282889</v>
      </c>
      <c r="N26" s="24" t="e">
        <f t="shared" si="12"/>
        <v>#REF!</v>
      </c>
      <c r="O26" s="24" t="e">
        <f t="shared" si="13"/>
        <v>#REF!</v>
      </c>
    </row>
    <row r="27" ht="19" customHeight="1" spans="1:20">
      <c r="A27" s="16" t="s">
        <v>45</v>
      </c>
      <c r="B27" s="16">
        <v>84.28</v>
      </c>
      <c r="C27" s="16">
        <v>84.28</v>
      </c>
      <c r="D27" s="16" t="e">
        <f>VLOOKUP(A27,'2025数据'!B:D,5,0)+VLOOKUP(A27,'2025数据'!B:E,6,0)+VLOOKUP(A27,'2025数据'!B:O,7,0)</f>
        <v>#REF!</v>
      </c>
      <c r="E27" s="17" t="e">
        <f t="shared" si="9"/>
        <v>#REF!</v>
      </c>
      <c r="F27" s="16">
        <v>0</v>
      </c>
      <c r="G27" s="14" t="e">
        <f>VLOOKUP(A27,'2025数据'!B:O,18,0)+VLOOKUP(A27,'2025数据'!B:G,8,0)+VLOOKUP(A27,'2025数据'!B:O,17,0)</f>
        <v>#REF!</v>
      </c>
      <c r="H27" s="18" t="e">
        <f t="shared" si="10"/>
        <v>#REF!</v>
      </c>
      <c r="I27" s="16">
        <v>0</v>
      </c>
      <c r="J27" s="16">
        <v>0</v>
      </c>
      <c r="K27" s="16"/>
      <c r="L27" s="16"/>
      <c r="M27" s="24">
        <f t="shared" si="11"/>
        <v>0.00097716140293618</v>
      </c>
      <c r="N27" s="24" t="e">
        <f t="shared" si="12"/>
        <v>#REF!</v>
      </c>
      <c r="O27" s="24" t="e">
        <f t="shared" si="13"/>
        <v>#REF!</v>
      </c>
    </row>
    <row r="28" ht="19" customHeight="1" spans="1:20">
      <c r="A28" s="16" t="s">
        <v>153</v>
      </c>
      <c r="B28" s="16">
        <v>9658.628</v>
      </c>
      <c r="C28" s="16">
        <v>305.312</v>
      </c>
      <c r="D28" s="16" t="e">
        <f>VLOOKUP(A28,'2025数据'!B:D,5,0)+VLOOKUP(A28,'2025数据'!B:E,6,0)+VLOOKUP(A28,'2025数据'!B:O,7,0)</f>
        <v>#REF!</v>
      </c>
      <c r="E28" s="17" t="e">
        <f t="shared" si="9"/>
        <v>#REF!</v>
      </c>
      <c r="F28" s="16">
        <v>1844.836</v>
      </c>
      <c r="G28" s="14" t="e">
        <f>VLOOKUP(A28,'2025数据'!B:O,18,0)+VLOOKUP(A28,'2025数据'!B:G,8,0)+VLOOKUP(A28,'2025数据'!B:O,17,0)</f>
        <v>#REF!</v>
      </c>
      <c r="H28" s="18" t="e">
        <f t="shared" si="10"/>
        <v>#REF!</v>
      </c>
      <c r="I28" s="16">
        <v>3561.74</v>
      </c>
      <c r="J28" s="16">
        <v>3946.74</v>
      </c>
      <c r="K28" s="16"/>
      <c r="L28" s="16"/>
      <c r="M28" s="24">
        <f t="shared" si="11"/>
        <v>0.111984319968185</v>
      </c>
      <c r="N28" s="24" t="e">
        <f t="shared" si="12"/>
        <v>#REF!</v>
      </c>
      <c r="O28" s="24" t="e">
        <f t="shared" si="13"/>
        <v>#REF!</v>
      </c>
    </row>
    <row r="29" ht="19" customHeight="1" spans="1:20">
      <c r="A29" s="16" t="s">
        <v>54</v>
      </c>
      <c r="B29" s="16">
        <v>7096.8</v>
      </c>
      <c r="C29" s="16">
        <v>860</v>
      </c>
      <c r="D29" s="16" t="e">
        <f>VLOOKUP(A29,'2025数据'!B:D,5,0)+VLOOKUP(A29,'2025数据'!B:E,6,0)+VLOOKUP(A29,'2025数据'!B:O,7,0)</f>
        <v>#REF!</v>
      </c>
      <c r="E29" s="17" t="e">
        <f t="shared" si="9"/>
        <v>#REF!</v>
      </c>
      <c r="F29" s="16">
        <v>1897</v>
      </c>
      <c r="G29" s="14" t="e">
        <f>VLOOKUP(A29,'2025数据'!B:O,18,0)+VLOOKUP(A29,'2025数据'!B:G,8,0)+VLOOKUP(A29,'2025数据'!B:O,17,0)</f>
        <v>#REF!</v>
      </c>
      <c r="H29" s="18" t="e">
        <f t="shared" si="10"/>
        <v>#REF!</v>
      </c>
      <c r="I29" s="16">
        <v>2611</v>
      </c>
      <c r="J29" s="16">
        <v>1728.8</v>
      </c>
      <c r="K29" s="16"/>
      <c r="L29" s="16"/>
      <c r="M29" s="24">
        <f t="shared" si="11"/>
        <v>0.0822819060792297</v>
      </c>
      <c r="N29" s="24" t="e">
        <f t="shared" si="12"/>
        <v>#REF!</v>
      </c>
      <c r="O29" s="24" t="e">
        <f t="shared" si="13"/>
        <v>#REF!</v>
      </c>
    </row>
    <row r="30" ht="19" customHeight="1" spans="1:20">
      <c r="A30" s="16" t="s">
        <v>56</v>
      </c>
      <c r="B30" s="16">
        <v>4905.572</v>
      </c>
      <c r="C30" s="16">
        <v>643.572</v>
      </c>
      <c r="D30" s="16" t="e">
        <f>VLOOKUP(A30,'2025数据'!B:D,5,0)+VLOOKUP(A30,'2025数据'!B:E,6,0)+VLOOKUP(A30,'2025数据'!B:O,7,0)</f>
        <v>#REF!</v>
      </c>
      <c r="E30" s="17" t="e">
        <f t="shared" si="9"/>
        <v>#REF!</v>
      </c>
      <c r="F30" s="16">
        <v>1065.5</v>
      </c>
      <c r="G30" s="14" t="e">
        <f>VLOOKUP(A30,'2025数据'!B:O,18,0)+VLOOKUP(A30,'2025数据'!B:G,8,0)+VLOOKUP(A30,'2025数据'!B:O,17,0)</f>
        <v>#REF!</v>
      </c>
      <c r="H30" s="18" t="e">
        <f t="shared" si="10"/>
        <v>#REF!</v>
      </c>
      <c r="I30" s="16">
        <v>1833.5</v>
      </c>
      <c r="J30" s="16">
        <v>1363</v>
      </c>
      <c r="K30" s="16"/>
      <c r="L30" s="16"/>
      <c r="M30" s="24">
        <f t="shared" si="11"/>
        <v>0.0568763125026631</v>
      </c>
      <c r="N30" s="24" t="e">
        <f t="shared" si="12"/>
        <v>#REF!</v>
      </c>
      <c r="O30" s="24" t="e">
        <f t="shared" si="13"/>
        <v>#REF!</v>
      </c>
      <c r="P30" s="21"/>
      <c r="Q30" s="21"/>
      <c r="R30" s="21"/>
      <c r="S30" s="21"/>
      <c r="T30" s="21"/>
    </row>
    <row r="31" ht="19" customHeight="1" spans="1:20">
      <c r="A31" s="16" t="s">
        <v>51</v>
      </c>
      <c r="B31" s="16">
        <v>0</v>
      </c>
      <c r="C31" s="16">
        <v>0</v>
      </c>
      <c r="D31" s="16" t="e">
        <f>VLOOKUP(A31,'2025数据'!B:D,5,0)+VLOOKUP(A31,'2025数据'!B:E,6,0)+VLOOKUP(A31,'2025数据'!B:O,7,0)</f>
        <v>#REF!</v>
      </c>
      <c r="E31" s="17" t="e">
        <f t="shared" si="9"/>
        <v>#REF!</v>
      </c>
      <c r="F31" s="16">
        <v>0</v>
      </c>
      <c r="G31" s="14" t="e">
        <f>VLOOKUP(A31,'2025数据'!B:O,18,0)+VLOOKUP(A31,'2025数据'!B:G,8,0)+VLOOKUP(A31,'2025数据'!B:O,17,0)</f>
        <v>#REF!</v>
      </c>
      <c r="H31" s="18" t="e">
        <f t="shared" si="10"/>
        <v>#REF!</v>
      </c>
      <c r="I31" s="16">
        <v>0</v>
      </c>
      <c r="J31" s="16">
        <v>0</v>
      </c>
      <c r="K31" s="16"/>
      <c r="L31" s="16"/>
      <c r="M31" s="24">
        <f t="shared" si="11"/>
        <v>0</v>
      </c>
      <c r="N31" s="24" t="e">
        <f t="shared" si="12"/>
        <v>#REF!</v>
      </c>
      <c r="O31" s="24" t="e">
        <f t="shared" si="13"/>
        <v>#REF!</v>
      </c>
    </row>
    <row r="32" ht="19" customHeight="1" spans="1:20">
      <c r="A32" s="14" t="s">
        <v>66</v>
      </c>
      <c r="B32" s="14">
        <v>40867.2792035398</v>
      </c>
      <c r="C32" s="14">
        <v>11876.2194690266</v>
      </c>
      <c r="D32" s="14" t="e">
        <f>VLOOKUP(A32,'2025数据'!B:D,5,0)+VLOOKUP(A32,'2025数据'!B:E,6,0)+VLOOKUP(A32,'2025数据'!B:O,7,0)</f>
        <v>#REF!</v>
      </c>
      <c r="E32" s="15" t="e">
        <f t="shared" si="9"/>
        <v>#REF!</v>
      </c>
      <c r="F32" s="14">
        <v>9860.17699115045</v>
      </c>
      <c r="G32" s="14" t="e">
        <f>VLOOKUP(A32,'2025数据'!B:O,18,0)+VLOOKUP(A32,'2025数据'!B:G,8,0)+VLOOKUP(A32,'2025数据'!B:O,17,0)</f>
        <v>#REF!</v>
      </c>
      <c r="H32" s="7" t="e">
        <f t="shared" si="10"/>
        <v>#REF!</v>
      </c>
      <c r="I32" s="14">
        <v>9548.67256637167</v>
      </c>
      <c r="J32" s="14">
        <v>9582.21017699114</v>
      </c>
      <c r="K32" s="14"/>
      <c r="L32" s="14"/>
    </row>
    <row r="33" ht="19" customHeight="1" spans="1:20">
      <c r="A33" s="14" t="s">
        <v>67</v>
      </c>
      <c r="B33" s="14">
        <v>13281.9336340445</v>
      </c>
      <c r="C33" s="14">
        <v>2809.34677565487</v>
      </c>
      <c r="D33" s="14" t="e">
        <f>VLOOKUP(A33,'2025数据'!B:D,5,0)+VLOOKUP(A33,'2025数据'!B:E,6,0)+VLOOKUP(A33,'2025数据'!B:O,7,0)</f>
        <v>#REF!</v>
      </c>
      <c r="E33" s="15" t="e">
        <f t="shared" si="9"/>
        <v>#REF!</v>
      </c>
      <c r="F33" s="14">
        <v>3717.1159734455</v>
      </c>
      <c r="G33" s="14" t="e">
        <f>VLOOKUP(A33,'2025数据'!B:O,18,0)+VLOOKUP(A33,'2025数据'!B:G,8,0)+VLOOKUP(A33,'2025数据'!B:O,17,0)</f>
        <v>#REF!</v>
      </c>
      <c r="H33" s="7" t="e">
        <f t="shared" si="10"/>
        <v>#REF!</v>
      </c>
      <c r="I33" s="14">
        <v>3717.1159734455</v>
      </c>
      <c r="J33" s="14">
        <v>3038.35491149861</v>
      </c>
      <c r="K33" s="14"/>
      <c r="L33" s="14"/>
    </row>
    <row r="34" ht="19" customHeight="1" spans="1:20">
      <c r="A34" s="14" t="s">
        <v>68</v>
      </c>
      <c r="B34" s="14">
        <v>2550.832</v>
      </c>
      <c r="C34" s="14">
        <v>2192.187</v>
      </c>
      <c r="D34" s="14" t="e">
        <f>VLOOKUP(A34,'2025数据'!B:D,5,0)+VLOOKUP(A34,'2025数据'!B:E,6,0)+VLOOKUP(A34,'2025数据'!B:O,7,0)</f>
        <v>#REF!</v>
      </c>
      <c r="E34" s="15" t="e">
        <f t="shared" si="9"/>
        <v>#REF!</v>
      </c>
      <c r="F34" s="14">
        <v>358.645</v>
      </c>
      <c r="G34" s="14" t="e">
        <f>VLOOKUP(A34,'2025数据'!B:O,18,0)+VLOOKUP(A34,'2025数据'!B:G,8,0)+VLOOKUP(A34,'2025数据'!B:O,17,0)</f>
        <v>#REF!</v>
      </c>
      <c r="H34" s="7" t="e">
        <f t="shared" si="10"/>
        <v>#REF!</v>
      </c>
      <c r="I34" s="14">
        <v>0</v>
      </c>
      <c r="J34" s="14">
        <v>0</v>
      </c>
      <c r="K34" s="14"/>
      <c r="L34" s="14"/>
    </row>
    <row r="35" ht="19" customHeight="1" spans="1:20">
      <c r="A35" s="14" t="s">
        <v>69</v>
      </c>
      <c r="B35" s="14">
        <v>5000.04955752213</v>
      </c>
      <c r="C35" s="14">
        <v>0</v>
      </c>
      <c r="D35" s="14">
        <v>0</v>
      </c>
      <c r="E35" s="15">
        <f t="shared" si="9"/>
        <v>0</v>
      </c>
      <c r="F35" s="14">
        <v>1049.60707964602</v>
      </c>
      <c r="G35" s="14" t="e">
        <f>VLOOKUP(A35,'2025数据'!B:O,18,0)+VLOOKUP(A35,'2025数据'!B:G,8,0)+VLOOKUP(A35,'2025数据'!B:O,17,0)</f>
        <v>#REF!</v>
      </c>
      <c r="H35" s="7" t="e">
        <f t="shared" si="10"/>
        <v>#REF!</v>
      </c>
      <c r="I35" s="14">
        <v>1911.50442477876</v>
      </c>
      <c r="J35" s="14">
        <v>2038.93805309734</v>
      </c>
      <c r="K35" s="14"/>
      <c r="L35" s="14"/>
    </row>
    <row r="36" ht="19" customHeight="1" spans="1:20">
      <c r="A36" s="14" t="s">
        <v>71</v>
      </c>
      <c r="B36" s="14">
        <v>11317.1617699115</v>
      </c>
      <c r="C36" s="14">
        <v>7057.48920353982</v>
      </c>
      <c r="D36" s="14" t="e">
        <f>VLOOKUP(A36,'2025数据'!B:D,5,0)+VLOOKUP(A36,'2025数据'!B:E,6,0)+VLOOKUP(A36,'2025数据'!B:O,7,0)</f>
        <v>#REF!</v>
      </c>
      <c r="E36" s="15" t="e">
        <f t="shared" si="9"/>
        <v>#REF!</v>
      </c>
      <c r="F36" s="14">
        <v>3187.17256637168</v>
      </c>
      <c r="G36" s="14" t="e">
        <f>VLOOKUP(A36,'2025数据'!B:O,18,0)+VLOOKUP(A36,'2025数据'!B:G,8,0)+VLOOKUP(A36,'2025数据'!B:O,17,0)</f>
        <v>#REF!</v>
      </c>
      <c r="H36" s="7" t="e">
        <f t="shared" si="10"/>
        <v>#REF!</v>
      </c>
      <c r="I36" s="14">
        <v>1072.5</v>
      </c>
      <c r="J36" s="14">
        <v>0</v>
      </c>
      <c r="K36" s="14"/>
      <c r="L36" s="14"/>
    </row>
    <row r="37" ht="19" customHeight="1" spans="1:20">
      <c r="A37" s="14" t="s">
        <v>70</v>
      </c>
      <c r="B37" s="14">
        <v>4132.65299185841</v>
      </c>
      <c r="C37" s="14">
        <v>2266.16847858407</v>
      </c>
      <c r="D37" s="14" t="e">
        <f>VLOOKUP(A37,'2025数据'!B:D,5,0)+VLOOKUP(A37,'2025数据'!B:E,6,0)+VLOOKUP(A37,'2025数据'!B:O,7,0)</f>
        <v>#REF!</v>
      </c>
      <c r="E37" s="15" t="e">
        <f t="shared" si="9"/>
        <v>#REF!</v>
      </c>
      <c r="F37" s="14">
        <v>1447.39088495575</v>
      </c>
      <c r="G37" s="14" t="e">
        <f>VLOOKUP(A37,'2025数据'!B:O,18,0)+VLOOKUP(A37,'2025数据'!B:G,8,0)+VLOOKUP(A37,'2025数据'!B:O,17,0)</f>
        <v>#REF!</v>
      </c>
      <c r="H37" s="7" t="e">
        <f t="shared" si="10"/>
        <v>#REF!</v>
      </c>
      <c r="I37" s="14">
        <v>230.973451327433</v>
      </c>
      <c r="J37" s="14">
        <v>188.12017699115</v>
      </c>
      <c r="K37" s="14"/>
      <c r="L37" s="14"/>
    </row>
    <row r="38" ht="19" customHeight="1" spans="1:20">
      <c r="A38" s="14" t="s">
        <v>72</v>
      </c>
      <c r="B38" s="14">
        <v>1046.49380530973</v>
      </c>
      <c r="C38" s="14">
        <v>1046.49380530973</v>
      </c>
      <c r="D38" s="14" t="e">
        <f>VLOOKUP(A38,'2025数据'!B:D,5,0)+VLOOKUP(A38,'2025数据'!B:E,6,0)+VLOOKUP(A38,'2025数据'!B:O,7,0)</f>
        <v>#REF!</v>
      </c>
      <c r="E38" s="15" t="e">
        <f t="shared" si="9"/>
        <v>#REF!</v>
      </c>
      <c r="F38" s="14">
        <v>0</v>
      </c>
      <c r="G38" s="14" t="e">
        <f>VLOOKUP(A38,'2025数据'!B:O,18,0)+VLOOKUP(A38,'2025数据'!B:G,8,0)+VLOOKUP(A38,'2025数据'!B:O,17,0)</f>
        <v>#REF!</v>
      </c>
      <c r="H38" s="7" t="e">
        <f t="shared" si="10"/>
        <v>#REF!</v>
      </c>
      <c r="I38" s="14">
        <v>0</v>
      </c>
      <c r="J38" s="14">
        <v>0</v>
      </c>
      <c r="K38" s="14"/>
      <c r="L38" s="14"/>
    </row>
    <row r="39" ht="19" customHeight="1" spans="1:20">
      <c r="A39" s="14" t="s">
        <v>78</v>
      </c>
      <c r="B39" s="14">
        <v>0</v>
      </c>
      <c r="C39" s="14">
        <v>0</v>
      </c>
      <c r="D39" s="14" t="e">
        <f>VLOOKUP(A39,'2025数据'!B:D,5,0)+VLOOKUP(A39,'2025数据'!B:E,6,0)+VLOOKUP(A39,'2025数据'!B:O,7,0)</f>
        <v>#REF!</v>
      </c>
      <c r="E39" s="15" t="e">
        <f t="shared" si="9"/>
        <v>#REF!</v>
      </c>
      <c r="F39" s="14">
        <v>0</v>
      </c>
      <c r="G39" s="14" t="e">
        <f>VLOOKUP(A39,'2025数据'!B:O,18,0)+VLOOKUP(A39,'2025数据'!B:G,8,0)+VLOOKUP(A39,'2025数据'!B:O,17,0)</f>
        <v>#REF!</v>
      </c>
      <c r="H39" s="7" t="e">
        <f t="shared" si="10"/>
        <v>#REF!</v>
      </c>
      <c r="I39" s="14">
        <v>0</v>
      </c>
      <c r="J39" s="14">
        <v>0</v>
      </c>
      <c r="K39" s="14"/>
      <c r="L39" s="14"/>
      <c r="O39" s="20"/>
      <c r="P39" s="21"/>
      <c r="Q39" s="21"/>
      <c r="R39" s="21"/>
      <c r="S39" s="21"/>
      <c r="T39" s="21"/>
    </row>
    <row r="40" ht="19" customHeight="1" spans="1:20">
      <c r="A40" s="14" t="s">
        <v>154</v>
      </c>
      <c r="B40" s="14">
        <v>3992.45</v>
      </c>
      <c r="C40" s="14">
        <v>0</v>
      </c>
      <c r="D40" s="14">
        <v>0</v>
      </c>
      <c r="E40" s="15">
        <f t="shared" si="9"/>
        <v>0</v>
      </c>
      <c r="F40" s="14">
        <v>0</v>
      </c>
      <c r="G40" s="14">
        <v>0</v>
      </c>
      <c r="H40" s="7">
        <f t="shared" si="10"/>
        <v>0</v>
      </c>
      <c r="I40" s="14">
        <v>1732.5</v>
      </c>
      <c r="J40" s="14">
        <v>2259.95</v>
      </c>
      <c r="K40" s="14"/>
      <c r="L40" s="14"/>
    </row>
    <row r="41" ht="19" customHeight="1" spans="1:20">
      <c r="A41" s="14" t="s">
        <v>155</v>
      </c>
      <c r="B41" s="14">
        <v>1050</v>
      </c>
      <c r="C41" s="14">
        <v>0</v>
      </c>
      <c r="D41" s="14">
        <v>0</v>
      </c>
      <c r="E41" s="15">
        <f t="shared" si="9"/>
        <v>0</v>
      </c>
      <c r="F41" s="14">
        <v>0</v>
      </c>
      <c r="G41" s="14">
        <v>0</v>
      </c>
      <c r="H41" s="7">
        <f t="shared" si="10"/>
        <v>0</v>
      </c>
      <c r="I41" s="14">
        <v>0</v>
      </c>
      <c r="J41" s="14">
        <v>1050</v>
      </c>
      <c r="K41" s="14"/>
      <c r="L41" s="14"/>
    </row>
    <row r="42" ht="19" customHeight="1" spans="1:20">
      <c r="A42" s="14" t="s">
        <v>79</v>
      </c>
      <c r="B42" s="14">
        <v>8664.74203539821</v>
      </c>
      <c r="C42" s="14">
        <v>11.3264601769911</v>
      </c>
      <c r="D42" s="14" t="e">
        <f>VLOOKUP(A42,'2025数据'!B:D,5,0)+VLOOKUP(A42,'2025数据'!B:E,6,0)+VLOOKUP(A42,'2025数据'!B:O,7,0)</f>
        <v>#REF!</v>
      </c>
      <c r="E42" s="15" t="e">
        <f t="shared" si="9"/>
        <v>#REF!</v>
      </c>
      <c r="F42" s="14">
        <v>2265.29203539822</v>
      </c>
      <c r="G42" s="14" t="e">
        <f>VLOOKUP(A42,'2025数据'!B:O,18,0)+VLOOKUP(A42,'2025数据'!B:G,8,0)+VLOOKUP(A42,'2025数据'!B:O,17,0)</f>
        <v>#REF!</v>
      </c>
      <c r="H42" s="7" t="e">
        <f t="shared" si="10"/>
        <v>#REF!</v>
      </c>
      <c r="I42" s="14">
        <v>3397.93805309733</v>
      </c>
      <c r="J42" s="14">
        <v>2990.18548672565</v>
      </c>
      <c r="K42" s="14"/>
      <c r="L42" s="14"/>
    </row>
    <row r="43" ht="19" customHeight="1" spans="1:20">
      <c r="A43" s="14" t="s">
        <v>74</v>
      </c>
      <c r="B43" s="14">
        <v>160.094867256637</v>
      </c>
      <c r="C43" s="14">
        <v>160.094867256637</v>
      </c>
      <c r="D43" s="14" t="e">
        <f>VLOOKUP(A43,'2025数据'!B:D,5,0)+VLOOKUP(A43,'2025数据'!B:E,6,0)+VLOOKUP(A43,'2025数据'!B:O,7,0)</f>
        <v>#REF!</v>
      </c>
      <c r="E43" s="15" t="e">
        <f t="shared" si="9"/>
        <v>#REF!</v>
      </c>
      <c r="F43" s="14">
        <v>0</v>
      </c>
      <c r="G43" s="14" t="e">
        <f>VLOOKUP(A43,'2025数据'!B:O,18,0)+VLOOKUP(A43,'2025数据'!B:G,8,0)+VLOOKUP(A43,'2025数据'!B:O,17,0)</f>
        <v>#REF!</v>
      </c>
      <c r="H43" s="7" t="e">
        <f t="shared" si="10"/>
        <v>#REF!</v>
      </c>
      <c r="I43" s="14">
        <v>0</v>
      </c>
      <c r="J43" s="14">
        <v>0</v>
      </c>
      <c r="K43" s="14"/>
      <c r="L43" s="14"/>
    </row>
    <row r="44" ht="19" customHeight="1" spans="1:20">
      <c r="A44" s="14" t="s">
        <v>73</v>
      </c>
      <c r="B44" s="14">
        <v>130.088495575221</v>
      </c>
      <c r="C44" s="14">
        <v>130.088495575221</v>
      </c>
      <c r="D44" s="14" t="e">
        <f>VLOOKUP(A44,'2025数据'!B:D,5,0)+VLOOKUP(A44,'2025数据'!B:E,6,0)+VLOOKUP(A44,'2025数据'!B:O,7,0)</f>
        <v>#REF!</v>
      </c>
      <c r="E44" s="15" t="e">
        <f t="shared" si="9"/>
        <v>#REF!</v>
      </c>
      <c r="F44" s="14">
        <v>0</v>
      </c>
      <c r="G44" s="14" t="e">
        <f>VLOOKUP(A44,'2025数据'!B:O,18,0)+VLOOKUP(A44,'2025数据'!B:G,8,0)+VLOOKUP(A44,'2025数据'!B:O,17,0)</f>
        <v>#REF!</v>
      </c>
      <c r="H44" s="7" t="e">
        <f t="shared" si="10"/>
        <v>#REF!</v>
      </c>
      <c r="I44" s="14">
        <v>0</v>
      </c>
      <c r="J44" s="14">
        <v>0</v>
      </c>
      <c r="K44" s="14"/>
      <c r="L44" s="14"/>
    </row>
    <row r="45" ht="19" customHeight="1" spans="1:20">
      <c r="A45" s="14" t="s">
        <v>77</v>
      </c>
      <c r="B45" s="14">
        <v>0</v>
      </c>
      <c r="C45" s="14">
        <v>0</v>
      </c>
      <c r="D45" s="14" t="e">
        <f>VLOOKUP(A45,'2025数据'!B:D,5,0)+VLOOKUP(A45,'2025数据'!B:E,6,0)+VLOOKUP(A45,'2025数据'!B:O,7,0)</f>
        <v>#REF!</v>
      </c>
      <c r="E45" s="15" t="e">
        <f t="shared" si="9"/>
        <v>#REF!</v>
      </c>
      <c r="F45" s="14">
        <v>0</v>
      </c>
      <c r="G45" s="14" t="e">
        <f>VLOOKUP(A45,'2025数据'!B:O,18,0)+VLOOKUP(A45,'2025数据'!B:G,8,0)+VLOOKUP(A45,'2025数据'!B:O,17,0)</f>
        <v>#REF!</v>
      </c>
      <c r="H45" s="7" t="e">
        <f t="shared" si="10"/>
        <v>#REF!</v>
      </c>
      <c r="I45" s="14">
        <v>0</v>
      </c>
      <c r="J45" s="14">
        <v>0</v>
      </c>
      <c r="K45" s="14"/>
      <c r="L45" s="14"/>
    </row>
    <row r="46" ht="19" customHeight="1" spans="1:20">
      <c r="A46" s="14" t="s">
        <v>76</v>
      </c>
      <c r="B46" s="14">
        <v>0</v>
      </c>
      <c r="C46" s="14">
        <v>0</v>
      </c>
      <c r="D46" s="14" t="e">
        <f>VLOOKUP(A46,'2025数据'!B:D,5,0)+VLOOKUP(A46,'2025数据'!B:E,6,0)+VLOOKUP(A46,'2025数据'!B:O,7,0)</f>
        <v>#REF!</v>
      </c>
      <c r="E46" s="15" t="e">
        <f t="shared" si="9"/>
        <v>#REF!</v>
      </c>
      <c r="F46" s="14">
        <v>0</v>
      </c>
      <c r="G46" s="14" t="e">
        <f>VLOOKUP(A46,'2025数据'!B:O,18,0)+VLOOKUP(A46,'2025数据'!B:G,8,0)+VLOOKUP(A46,'2025数据'!B:O,17,0)</f>
        <v>#REF!</v>
      </c>
      <c r="H46" s="7" t="e">
        <f t="shared" si="10"/>
        <v>#REF!</v>
      </c>
      <c r="I46" s="14">
        <v>0</v>
      </c>
      <c r="J46" s="14">
        <v>0</v>
      </c>
      <c r="K46" s="14"/>
      <c r="L46" s="14"/>
    </row>
    <row r="47" ht="19" customHeight="1" spans="1:20">
      <c r="A47" s="14"/>
      <c r="B47" s="14"/>
      <c r="C47" s="14"/>
      <c r="D47" s="14"/>
      <c r="E47" s="15"/>
      <c r="F47" s="14"/>
      <c r="G47" s="14"/>
      <c r="H47" s="7"/>
      <c r="I47" s="14"/>
      <c r="J47" s="14"/>
      <c r="K47" s="14"/>
      <c r="L47" s="14"/>
    </row>
    <row r="48" ht="19" customHeight="1" spans="1:20">
      <c r="A48" s="2" t="s">
        <v>156</v>
      </c>
      <c r="B48" s="2" t="s">
        <v>138</v>
      </c>
      <c r="C48" s="2" t="s">
        <v>0</v>
      </c>
      <c r="D48" s="2" t="s">
        <v>0</v>
      </c>
      <c r="E48" s="4" t="s">
        <v>109</v>
      </c>
      <c r="F48" s="2" t="s">
        <v>6</v>
      </c>
      <c r="G48" s="2" t="s">
        <v>6</v>
      </c>
      <c r="H48" s="5" t="s">
        <v>109</v>
      </c>
      <c r="I48" s="2" t="s">
        <v>11</v>
      </c>
      <c r="J48" s="2" t="s">
        <v>140</v>
      </c>
      <c r="K48" s="2"/>
      <c r="L48" s="2"/>
    </row>
    <row r="49" ht="19" customHeight="1" spans="1:13">
      <c r="A49" s="2"/>
      <c r="B49" s="2" t="s">
        <v>143</v>
      </c>
      <c r="C49" s="2" t="s">
        <v>143</v>
      </c>
      <c r="D49" s="2" t="s">
        <v>157</v>
      </c>
      <c r="E49" s="4"/>
      <c r="F49" s="2" t="s">
        <v>143</v>
      </c>
      <c r="G49" s="2" t="s">
        <v>158</v>
      </c>
      <c r="H49" s="5"/>
      <c r="I49" s="2" t="s">
        <v>143</v>
      </c>
      <c r="J49" s="2" t="s">
        <v>143</v>
      </c>
      <c r="K49" s="2"/>
      <c r="L49" s="2"/>
    </row>
    <row r="50" ht="19" customHeight="1" spans="1:13">
      <c r="A50" s="14" t="s">
        <v>99</v>
      </c>
      <c r="B50" s="14">
        <v>85001.49</v>
      </c>
      <c r="C50" s="14">
        <v>20740.58</v>
      </c>
      <c r="D50" s="14" t="e">
        <f>VLOOKUP(A50,'2025数据'!B:D,5,0)+VLOOKUP(A50,'2025数据'!B:E,6,0)+VLOOKUP(A50,'2025数据'!B:O,7,0)</f>
        <v>#REF!</v>
      </c>
      <c r="E50" s="15" t="e">
        <f t="shared" ref="E50:E56" si="14">D50-C50</f>
        <v>#REF!</v>
      </c>
      <c r="F50" s="14">
        <v>22401.82</v>
      </c>
      <c r="G50" s="14" t="e">
        <f>VLOOKUP(A50,'2025数据'!B:O,18,0)+VLOOKUP(A50,'2025数据'!B:G,8,0)+VLOOKUP(A50,'2025数据'!B:O,17,0)</f>
        <v>#REF!</v>
      </c>
      <c r="H50" s="7" t="e">
        <f t="shared" ref="H50:H56" si="15">G50-F50</f>
        <v>#REF!</v>
      </c>
      <c r="I50" s="14">
        <v>25311.72</v>
      </c>
      <c r="J50" s="14">
        <v>16547.37</v>
      </c>
      <c r="K50" s="14"/>
      <c r="L50" s="14"/>
      <c r="M50" s="14"/>
    </row>
    <row r="51" ht="17" customHeight="1" spans="1:13">
      <c r="A51" s="14" t="s">
        <v>100</v>
      </c>
      <c r="B51" s="14">
        <v>45003.455</v>
      </c>
      <c r="C51" s="14">
        <v>7419.755</v>
      </c>
      <c r="D51" s="14" t="e">
        <f>VLOOKUP(A51,'2025数据'!B:D,5,0)+VLOOKUP(A51,'2025数据'!B:E,6,0)+VLOOKUP(A51,'2025数据'!B:O,7,0)</f>
        <v>#REF!</v>
      </c>
      <c r="E51" s="15" t="e">
        <f t="shared" si="14"/>
        <v>#REF!</v>
      </c>
      <c r="F51" s="14">
        <v>7236.6</v>
      </c>
      <c r="G51" s="14" t="e">
        <f>VLOOKUP(A51,'2025数据'!B:O,18,0)+VLOOKUP(A51,'2025数据'!B:G,8,0)+VLOOKUP(A51,'2025数据'!B:O,17,0)</f>
        <v>#REF!</v>
      </c>
      <c r="H51" s="7" t="e">
        <f t="shared" si="15"/>
        <v>#REF!</v>
      </c>
      <c r="I51" s="14">
        <v>12210.1</v>
      </c>
      <c r="J51" s="14">
        <v>18137</v>
      </c>
      <c r="K51" s="14"/>
      <c r="L51" s="14"/>
      <c r="M51" s="14"/>
    </row>
    <row r="52" ht="19" customHeight="1" spans="1:13">
      <c r="A52" s="14" t="s">
        <v>101</v>
      </c>
      <c r="B52" s="14">
        <v>12002.372</v>
      </c>
      <c r="C52" s="14">
        <v>1503.572</v>
      </c>
      <c r="D52" s="14" t="e">
        <f>VLOOKUP(A52,'2025数据'!B:D,5,0)+VLOOKUP(A52,'2025数据'!B:E,6,0)+VLOOKUP(A52,'2025数据'!B:O,7,0)</f>
        <v>#REF!</v>
      </c>
      <c r="E52" s="15" t="e">
        <f t="shared" si="14"/>
        <v>#REF!</v>
      </c>
      <c r="F52" s="14">
        <v>2962.5</v>
      </c>
      <c r="G52" s="14" t="e">
        <f>VLOOKUP(A52,'2025数据'!B:O,18,0)+VLOOKUP(A52,'2025数据'!B:G,8,0)+VLOOKUP(A52,'2025数据'!B:O,17,0)</f>
        <v>#REF!</v>
      </c>
      <c r="H52" s="7" t="e">
        <f t="shared" si="15"/>
        <v>#REF!</v>
      </c>
      <c r="I52" s="14">
        <v>4444.5</v>
      </c>
      <c r="J52" s="14">
        <v>3091.8</v>
      </c>
      <c r="K52" s="14"/>
      <c r="L52" s="14"/>
      <c r="M52" s="14"/>
    </row>
    <row r="53" ht="19" customHeight="1" spans="1:13">
      <c r="A53" s="14" t="s">
        <v>102</v>
      </c>
      <c r="B53" s="14">
        <v>14701.078</v>
      </c>
      <c r="C53" s="14">
        <v>305.312</v>
      </c>
      <c r="D53" s="14" t="e">
        <f>VLOOKUP(A53,'2025数据'!B:D,5,0)+VLOOKUP(A53,'2025数据'!B:E,6,0)+VLOOKUP(A53,'2025数据'!B:O,7,0)</f>
        <v>#REF!</v>
      </c>
      <c r="E53" s="15" t="e">
        <f t="shared" si="14"/>
        <v>#REF!</v>
      </c>
      <c r="F53" s="14">
        <v>1844.836</v>
      </c>
      <c r="G53" s="14" t="e">
        <f>VLOOKUP(A53,'2025数据'!B:O,18,0)+VLOOKUP(A53,'2025数据'!B:G,8,0)+VLOOKUP(A53,'2025数据'!B:O,17,0)</f>
        <v>#REF!</v>
      </c>
      <c r="H53" s="7" t="e">
        <f t="shared" si="15"/>
        <v>#REF!</v>
      </c>
      <c r="I53" s="14">
        <v>5294.24</v>
      </c>
      <c r="J53" s="14">
        <v>7256.69</v>
      </c>
      <c r="K53" s="14"/>
      <c r="L53" s="14"/>
      <c r="M53" s="14"/>
    </row>
    <row r="54" ht="19" customHeight="1" spans="1:13">
      <c r="A54" s="14" t="s">
        <v>159</v>
      </c>
      <c r="B54" s="14">
        <v>151000.10532431</v>
      </c>
      <c r="C54" s="14">
        <v>30731.1355455663</v>
      </c>
      <c r="D54" s="14" t="e">
        <f>VLOOKUP(A54,'2025数据'!B:D,5,0)+VLOOKUP(A54,'2025数据'!B:E,6,0)+VLOOKUP(A54,'2025数据'!B:O,7,0)</f>
        <v>#N/A</v>
      </c>
      <c r="E54" s="15" t="e">
        <f t="shared" si="14"/>
        <v>#N/A</v>
      </c>
      <c r="F54" s="14">
        <v>32425.1154867199</v>
      </c>
      <c r="G54" s="14" t="e">
        <f>VLOOKUP(A54,'2025数据'!B:O,18,0)+VLOOKUP(A54,'2025数据'!B:G,8,0)+VLOOKUP(A54,'2025数据'!B:O,17,0)</f>
        <v>#N/A</v>
      </c>
      <c r="H54" s="7" t="e">
        <f t="shared" si="15"/>
        <v>#N/A</v>
      </c>
      <c r="I54" s="14">
        <v>47246.7743805252</v>
      </c>
      <c r="J54" s="14">
        <v>40597.0799114986</v>
      </c>
      <c r="K54" s="14"/>
      <c r="L54" s="14"/>
      <c r="M54" s="14"/>
    </row>
    <row r="55" ht="19" customHeight="1" spans="1:13">
      <c r="A55" s="14" t="s">
        <v>104</v>
      </c>
      <c r="B55" s="14">
        <v>49999.9817529203</v>
      </c>
      <c r="C55" s="14">
        <v>14142.3879476106</v>
      </c>
      <c r="D55" s="14" t="e">
        <f>VLOOKUP(A55,'2025数据'!B:D,5,0)+VLOOKUP(A55,'2025数据'!B:E,6,0)+VLOOKUP(A55,'2025数据'!B:O,7,0)</f>
        <v>#REF!</v>
      </c>
      <c r="E55" s="15" t="e">
        <f t="shared" si="14"/>
        <v>#REF!</v>
      </c>
      <c r="F55" s="14">
        <v>12357.1749557522</v>
      </c>
      <c r="G55" s="14" t="e">
        <f>VLOOKUP(A55,'2025数据'!B:O,18,0)+VLOOKUP(A55,'2025数据'!B:G,8,0)+VLOOKUP(A55,'2025数据'!B:O,17,0)</f>
        <v>#REF!</v>
      </c>
      <c r="H55" s="7" t="e">
        <f t="shared" si="15"/>
        <v>#REF!</v>
      </c>
      <c r="I55" s="14">
        <v>11691.1504424779</v>
      </c>
      <c r="J55" s="14">
        <v>11809.2684070796</v>
      </c>
      <c r="K55" s="14"/>
      <c r="L55" s="14"/>
      <c r="M55" s="14"/>
    </row>
    <row r="56" ht="19" customHeight="1" spans="1:13">
      <c r="A56" s="14" t="s">
        <v>105</v>
      </c>
      <c r="B56" s="14">
        <v>10001.4192035398</v>
      </c>
      <c r="C56" s="14">
        <v>1348.00362831858</v>
      </c>
      <c r="D56" s="14" t="e">
        <f>VLOOKUP(A56,'2025数据'!B:D,5,0)+VLOOKUP(A56,'2025数据'!B:E,6,0)+VLOOKUP(A56,'2025数据'!B:O,7,0)</f>
        <v>#REF!</v>
      </c>
      <c r="E56" s="15" t="e">
        <f t="shared" si="14"/>
        <v>#REF!</v>
      </c>
      <c r="F56" s="14">
        <v>2265.29203539822</v>
      </c>
      <c r="G56" s="14" t="e">
        <f>VLOOKUP(A56,'2025数据'!B:O,18,0)+VLOOKUP(A56,'2025数据'!B:G,8,0)+VLOOKUP(A56,'2025数据'!B:O,17,0)</f>
        <v>#REF!</v>
      </c>
      <c r="H56" s="7" t="e">
        <f t="shared" si="15"/>
        <v>#REF!</v>
      </c>
      <c r="I56" s="14">
        <v>3397.93805309733</v>
      </c>
      <c r="J56" s="14">
        <v>2990.18548672565</v>
      </c>
      <c r="K56" s="14"/>
      <c r="L56" s="14"/>
      <c r="M56" s="14"/>
    </row>
    <row r="57" ht="19" customHeight="1" spans="1:13">
      <c r="A57" s="22" t="s">
        <v>107</v>
      </c>
      <c r="B57" s="13">
        <f t="shared" ref="B57:J57" si="16">SUM(B50:B56)</f>
        <v>367709.90128077</v>
      </c>
      <c r="C57" s="13">
        <f t="shared" si="16"/>
        <v>76190.7461214955</v>
      </c>
      <c r="D57" s="13" t="e">
        <f t="shared" si="16"/>
        <v>#REF!</v>
      </c>
      <c r="E57" s="13" t="e">
        <f t="shared" si="16"/>
        <v>#REF!</v>
      </c>
      <c r="F57" s="13">
        <f t="shared" si="16"/>
        <v>81493.3384778703</v>
      </c>
      <c r="G57" s="13" t="e">
        <f t="shared" si="16"/>
        <v>#REF!</v>
      </c>
      <c r="H57" s="10" t="e">
        <f t="shared" si="16"/>
        <v>#REF!</v>
      </c>
      <c r="I57" s="10">
        <f t="shared" si="16"/>
        <v>109596.4228761</v>
      </c>
      <c r="J57" s="10">
        <f t="shared" si="16"/>
        <v>100429.393805304</v>
      </c>
      <c r="K57" s="10"/>
      <c r="L57" s="10"/>
    </row>
    <row r="58" ht="19" customHeight="1" spans="1:13">
      <c r="A58" s="14"/>
      <c r="B58" s="14"/>
      <c r="C58" s="14"/>
      <c r="D58" s="14"/>
      <c r="E58" s="15"/>
      <c r="F58" s="14"/>
      <c r="G58" s="14"/>
      <c r="H58" s="7"/>
      <c r="I58" s="14"/>
      <c r="J58" s="14"/>
      <c r="K58" s="14"/>
      <c r="L58" s="14"/>
    </row>
    <row r="59" ht="19" customHeight="1" spans="1:13">
      <c r="A59" s="14"/>
      <c r="B59" s="14"/>
      <c r="C59" s="14"/>
      <c r="D59" s="14"/>
      <c r="E59" s="15"/>
      <c r="F59" s="14"/>
      <c r="G59" s="14"/>
      <c r="H59" s="7"/>
      <c r="I59" s="14"/>
      <c r="J59" s="14"/>
      <c r="K59" s="14"/>
      <c r="L59" s="14"/>
    </row>
    <row r="60" ht="19" customHeight="1" spans="1:13">
      <c r="A60" s="14"/>
      <c r="B60" s="14"/>
      <c r="C60" s="14"/>
      <c r="D60" s="14"/>
      <c r="E60" s="15"/>
      <c r="F60" s="14"/>
      <c r="G60" s="14"/>
      <c r="H60" s="7"/>
      <c r="I60" s="14"/>
      <c r="J60" s="14"/>
      <c r="K60" s="14"/>
      <c r="L60" s="14"/>
    </row>
    <row r="61" ht="19" customHeight="1" spans="1:13">
      <c r="A61" s="2" t="s">
        <v>15</v>
      </c>
      <c r="B61" s="2" t="s">
        <v>160</v>
      </c>
      <c r="C61" s="2" t="s">
        <v>0</v>
      </c>
      <c r="D61" s="2" t="s">
        <v>0</v>
      </c>
      <c r="E61" s="4" t="s">
        <v>109</v>
      </c>
      <c r="F61" s="2" t="s">
        <v>6</v>
      </c>
      <c r="G61" s="2" t="s">
        <v>6</v>
      </c>
      <c r="H61" s="5" t="s">
        <v>109</v>
      </c>
      <c r="I61" s="2" t="s">
        <v>11</v>
      </c>
      <c r="J61" s="2" t="s">
        <v>140</v>
      </c>
      <c r="K61" s="2"/>
      <c r="L61" s="2"/>
    </row>
    <row r="62" ht="19" customHeight="1" spans="1:13">
      <c r="A62" s="2"/>
      <c r="B62" s="2" t="s">
        <v>143</v>
      </c>
      <c r="C62" s="2" t="s">
        <v>143</v>
      </c>
      <c r="D62" s="2" t="s">
        <v>157</v>
      </c>
      <c r="E62" s="4"/>
      <c r="F62" s="2" t="s">
        <v>143</v>
      </c>
      <c r="G62" s="2" t="s">
        <v>158</v>
      </c>
      <c r="H62" s="5"/>
      <c r="I62" s="2" t="s">
        <v>143</v>
      </c>
      <c r="J62" s="2" t="s">
        <v>143</v>
      </c>
      <c r="K62" s="2"/>
      <c r="L62" s="2"/>
    </row>
    <row r="63" ht="19" customHeight="1" spans="1:13">
      <c r="A63" s="22" t="s">
        <v>33</v>
      </c>
      <c r="B63" s="13">
        <f t="shared" ref="B63:J63" si="17">SUM(B64:B95)</f>
        <v>437033.719483602</v>
      </c>
      <c r="C63" s="13">
        <f t="shared" si="17"/>
        <v>75303.8461214956</v>
      </c>
      <c r="D63" s="13" t="e">
        <f t="shared" si="17"/>
        <v>#REF!</v>
      </c>
      <c r="E63" s="13" t="e">
        <f t="shared" si="17"/>
        <v>#REF!</v>
      </c>
      <c r="F63" s="13">
        <f t="shared" si="17"/>
        <v>90280.6747610562</v>
      </c>
      <c r="G63" s="13" t="e">
        <f t="shared" si="17"/>
        <v>#REF!</v>
      </c>
      <c r="H63" s="10" t="e">
        <f t="shared" si="17"/>
        <v>#REF!</v>
      </c>
      <c r="I63" s="13">
        <f t="shared" si="17"/>
        <v>123463.615203357</v>
      </c>
      <c r="J63" s="13">
        <f t="shared" si="17"/>
        <v>147985.583397693</v>
      </c>
      <c r="K63" s="13"/>
      <c r="L63" s="13"/>
    </row>
    <row r="64" ht="19" customHeight="1" spans="1:13">
      <c r="A64" s="14" t="s">
        <v>37</v>
      </c>
      <c r="B64" s="14">
        <v>153850.152920354</v>
      </c>
      <c r="C64" s="14">
        <v>18672.1125663717</v>
      </c>
      <c r="D64" s="14" t="e">
        <f>VLOOKUP(A64,'2025数据'!B:D,5,0)+VLOOKUP(A64,'2025数据'!B:E,6,0)+VLOOKUP(A64,'2025数据'!B:O,7,0)</f>
        <v>#REF!</v>
      </c>
      <c r="E64" s="15" t="e">
        <f t="shared" ref="E64:E95" si="18">D64-C64</f>
        <v>#REF!</v>
      </c>
      <c r="F64" s="14">
        <v>25162.1819469027</v>
      </c>
      <c r="G64" s="14" t="e">
        <f>VLOOKUP(A64,'2025数据'!B:O,18,0)+VLOOKUP(A64,'2025数据'!B:G,8,0)+VLOOKUP(A64,'2025数据'!B:O,17,0)</f>
        <v>#REF!</v>
      </c>
      <c r="H64" s="7" t="e">
        <f t="shared" ref="H64:H95" si="19">G64-F64</f>
        <v>#REF!</v>
      </c>
      <c r="I64" s="14">
        <v>42457.1584070797</v>
      </c>
      <c r="J64" s="14">
        <v>67558.7</v>
      </c>
      <c r="K64" s="14"/>
      <c r="L64" s="14"/>
    </row>
    <row r="65" ht="19" customHeight="1" spans="1:20">
      <c r="A65" s="14" t="s">
        <v>35</v>
      </c>
      <c r="B65" s="14">
        <v>67918.9</v>
      </c>
      <c r="C65" s="14">
        <v>12869.5</v>
      </c>
      <c r="D65" s="14" t="e">
        <f>VLOOKUP(A65,'2025数据'!B:D,5,0)+VLOOKUP(A65,'2025数据'!B:E,6,0)+VLOOKUP(A65,'2025数据'!B:O,7,0)</f>
        <v>#REF!</v>
      </c>
      <c r="E65" s="15" t="e">
        <f t="shared" si="18"/>
        <v>#REF!</v>
      </c>
      <c r="F65" s="14">
        <v>18431</v>
      </c>
      <c r="G65" s="14" t="e">
        <f>VLOOKUP(A65,'2025数据'!B:O,18,0)+VLOOKUP(A65,'2025数据'!B:G,8,0)+VLOOKUP(A65,'2025数据'!B:O,17,0)</f>
        <v>#REF!</v>
      </c>
      <c r="H65" s="7" t="e">
        <f t="shared" si="19"/>
        <v>#REF!</v>
      </c>
      <c r="I65" s="14">
        <v>20746.6</v>
      </c>
      <c r="J65" s="14">
        <v>15871.8</v>
      </c>
      <c r="K65" s="14"/>
      <c r="L65" s="14"/>
    </row>
    <row r="66" ht="19" customHeight="1" spans="1:20">
      <c r="A66" s="16" t="s">
        <v>43</v>
      </c>
      <c r="B66" s="16">
        <v>9010.96</v>
      </c>
      <c r="C66" s="16">
        <v>2048.9</v>
      </c>
      <c r="D66" s="16" t="e">
        <f>VLOOKUP(A66,'2025数据'!B:D,5,0)+VLOOKUP(A66,'2025数据'!B:E,6,0)+VLOOKUP(A66,'2025数据'!B:O,7,0)</f>
        <v>#REF!</v>
      </c>
      <c r="E66" s="17" t="e">
        <f t="shared" si="18"/>
        <v>#REF!</v>
      </c>
      <c r="F66" s="16">
        <v>3802.54</v>
      </c>
      <c r="G66" s="14" t="e">
        <f>VLOOKUP(A66,'2025数据'!B:O,18,0)+VLOOKUP(A66,'2025数据'!B:G,8,0)+VLOOKUP(A66,'2025数据'!B:O,17,0)</f>
        <v>#REF!</v>
      </c>
      <c r="H66" s="18" t="e">
        <f t="shared" si="19"/>
        <v>#REF!</v>
      </c>
      <c r="I66" s="16">
        <v>2823.52</v>
      </c>
      <c r="J66" s="16">
        <v>336</v>
      </c>
      <c r="K66" s="16"/>
      <c r="L66" s="16"/>
    </row>
    <row r="67" ht="19" customHeight="1" spans="1:20">
      <c r="A67" s="16" t="s">
        <v>49</v>
      </c>
      <c r="B67" s="16">
        <v>8778</v>
      </c>
      <c r="C67" s="16">
        <v>2555</v>
      </c>
      <c r="D67" s="16" t="e">
        <f>VLOOKUP(A67,'2025数据'!B:D,5,0)+VLOOKUP(A67,'2025数据'!B:E,6,0)+VLOOKUP(A67,'2025数据'!B:O,7,0)</f>
        <v>#REF!</v>
      </c>
      <c r="E67" s="17" t="e">
        <f t="shared" si="18"/>
        <v>#REF!</v>
      </c>
      <c r="F67" s="16">
        <v>3542</v>
      </c>
      <c r="G67" s="14" t="e">
        <f>VLOOKUP(A67,'2025数据'!B:O,18,0)+VLOOKUP(A67,'2025数据'!B:G,8,0)+VLOOKUP(A67,'2025数据'!B:O,17,0)</f>
        <v>#REF!</v>
      </c>
      <c r="H67" s="18" t="e">
        <f t="shared" si="19"/>
        <v>#REF!</v>
      </c>
      <c r="I67" s="16">
        <v>1869</v>
      </c>
      <c r="J67" s="16">
        <v>812</v>
      </c>
      <c r="K67" s="16"/>
      <c r="L67" s="16"/>
    </row>
    <row r="68" ht="19" customHeight="1" spans="1:20">
      <c r="A68" s="16" t="s">
        <v>152</v>
      </c>
      <c r="B68" s="16">
        <v>6580</v>
      </c>
      <c r="C68" s="16">
        <v>1204</v>
      </c>
      <c r="D68" s="16" t="e">
        <f>VLOOKUP(A68,'2025数据'!B:D,5,0)+VLOOKUP(A68,'2025数据'!B:E,6,0)+VLOOKUP(A68,'2025数据'!B:O,7,0)</f>
        <v>#N/A</v>
      </c>
      <c r="E68" s="17" t="e">
        <f t="shared" si="18"/>
        <v>#N/A</v>
      </c>
      <c r="F68" s="16">
        <v>2114</v>
      </c>
      <c r="G68" s="14" t="e">
        <f>VLOOKUP(A68,'2025数据'!B:O,18,0)+VLOOKUP(A68,'2025数据'!B:G,8,0)+VLOOKUP(A68,'2025数据'!B:O,17,0)</f>
        <v>#N/A</v>
      </c>
      <c r="H68" s="18" t="e">
        <f t="shared" si="19"/>
        <v>#N/A</v>
      </c>
      <c r="I68" s="16">
        <v>2716</v>
      </c>
      <c r="J68" s="16">
        <v>546</v>
      </c>
      <c r="K68" s="16"/>
      <c r="L68" s="16"/>
    </row>
    <row r="69" ht="19" customHeight="1" spans="1:20">
      <c r="A69" s="16" t="s">
        <v>64</v>
      </c>
      <c r="B69" s="16">
        <v>5170.55</v>
      </c>
      <c r="C69" s="16">
        <v>791.28</v>
      </c>
      <c r="D69" s="16" t="e">
        <f>VLOOKUP(A69,'2025数据'!B:D,5,0)+VLOOKUP(A69,'2025数据'!B:E,6,0)+VLOOKUP(A69,'2025数据'!B:O,7,0)</f>
        <v>#REF!</v>
      </c>
      <c r="E69" s="17" t="e">
        <f t="shared" si="18"/>
        <v>#REF!</v>
      </c>
      <c r="F69" s="16">
        <v>1176.28</v>
      </c>
      <c r="G69" s="14" t="e">
        <f>VLOOKUP(A69,'2025数据'!B:O,18,0)+VLOOKUP(A69,'2025数据'!B:G,8,0)+VLOOKUP(A69,'2025数据'!B:O,17,0)</f>
        <v>#REF!</v>
      </c>
      <c r="H69" s="18" t="e">
        <f t="shared" si="19"/>
        <v>#REF!</v>
      </c>
      <c r="I69" s="16">
        <v>2352.56</v>
      </c>
      <c r="J69" s="16">
        <v>850.43</v>
      </c>
      <c r="K69" s="16"/>
      <c r="L69" s="16"/>
    </row>
    <row r="70" ht="19" customHeight="1" spans="1:20">
      <c r="A70" s="16" t="s">
        <v>50</v>
      </c>
      <c r="B70" s="16">
        <v>2548</v>
      </c>
      <c r="C70" s="16">
        <v>385</v>
      </c>
      <c r="D70" s="16" t="e">
        <f>VLOOKUP(A70,'2025数据'!B:D,5,0)+VLOOKUP(A70,'2025数据'!B:E,6,0)+VLOOKUP(A70,'2025数据'!B:O,7,0)</f>
        <v>#REF!</v>
      </c>
      <c r="E70" s="17" t="e">
        <f t="shared" si="18"/>
        <v>#REF!</v>
      </c>
      <c r="F70" s="16">
        <v>1106</v>
      </c>
      <c r="G70" s="14" t="e">
        <f>VLOOKUP(A70,'2025数据'!B:O,18,0)+VLOOKUP(A70,'2025数据'!B:G,8,0)+VLOOKUP(A70,'2025数据'!B:O,17,0)</f>
        <v>#REF!</v>
      </c>
      <c r="H70" s="18" t="e">
        <f t="shared" si="19"/>
        <v>#REF!</v>
      </c>
      <c r="I70" s="16">
        <v>1057</v>
      </c>
      <c r="J70" s="16">
        <v>0</v>
      </c>
      <c r="K70" s="16"/>
      <c r="L70" s="16"/>
    </row>
    <row r="71" ht="19" customHeight="1" spans="1:20">
      <c r="A71" s="16" t="s">
        <v>39</v>
      </c>
      <c r="B71" s="16">
        <v>39977.7</v>
      </c>
      <c r="C71" s="16">
        <v>4483.5</v>
      </c>
      <c r="D71" s="16" t="e">
        <f>VLOOKUP(A71,'2025数据'!B:D,5,0)+VLOOKUP(A71,'2025数据'!B:E,6,0)+VLOOKUP(A71,'2025数据'!B:O,7,0)</f>
        <v>#REF!</v>
      </c>
      <c r="E71" s="17" t="e">
        <f t="shared" si="18"/>
        <v>#REF!</v>
      </c>
      <c r="F71" s="16">
        <v>5080.6</v>
      </c>
      <c r="G71" s="14" t="e">
        <f>VLOOKUP(A71,'2025数据'!B:O,18,0)+VLOOKUP(A71,'2025数据'!B:G,8,0)+VLOOKUP(A71,'2025数据'!B:O,17,0)</f>
        <v>#REF!</v>
      </c>
      <c r="H71" s="18" t="e">
        <f t="shared" si="19"/>
        <v>#REF!</v>
      </c>
      <c r="I71" s="16">
        <v>11531.8</v>
      </c>
      <c r="J71" s="16">
        <v>18881.8</v>
      </c>
      <c r="K71" s="16"/>
      <c r="L71" s="16"/>
    </row>
    <row r="72" ht="19" customHeight="1" spans="1:20">
      <c r="A72" s="16" t="s">
        <v>41</v>
      </c>
      <c r="B72" s="16">
        <v>4631.2</v>
      </c>
      <c r="C72" s="16">
        <v>1311.1</v>
      </c>
      <c r="D72" s="16" t="e">
        <f>VLOOKUP(A72,'2025数据'!B:D,5,0)+VLOOKUP(A72,'2025数据'!B:E,6,0)+VLOOKUP(A72,'2025数据'!B:O,7,0)</f>
        <v>#REF!</v>
      </c>
      <c r="E72" s="17" t="e">
        <f t="shared" si="18"/>
        <v>#REF!</v>
      </c>
      <c r="F72" s="16">
        <v>966</v>
      </c>
      <c r="G72" s="14" t="e">
        <f>VLOOKUP(A72,'2025数据'!B:O,18,0)+VLOOKUP(A72,'2025数据'!B:G,8,0)+VLOOKUP(A72,'2025数据'!B:O,17,0)</f>
        <v>#REF!</v>
      </c>
      <c r="H72" s="18" t="e">
        <f t="shared" si="19"/>
        <v>#REF!</v>
      </c>
      <c r="I72" s="16">
        <v>1493.1</v>
      </c>
      <c r="J72" s="16">
        <v>861</v>
      </c>
      <c r="K72" s="16"/>
      <c r="L72" s="16"/>
    </row>
    <row r="73" ht="19" customHeight="1" spans="1:20">
      <c r="A73" s="16" t="s">
        <v>47</v>
      </c>
      <c r="B73" s="16">
        <v>3185.875</v>
      </c>
      <c r="C73" s="16">
        <v>1218.875</v>
      </c>
      <c r="D73" s="16" t="e">
        <f>VLOOKUP(A73,'2025数据'!B:D,5,0)+VLOOKUP(A73,'2025数据'!B:E,6,0)+VLOOKUP(A73,'2025数据'!B:O,7,0)</f>
        <v>#REF!</v>
      </c>
      <c r="E73" s="17" t="e">
        <f t="shared" si="18"/>
        <v>#REF!</v>
      </c>
      <c r="F73" s="16">
        <v>861</v>
      </c>
      <c r="G73" s="14" t="e">
        <f>VLOOKUP(A73,'2025数据'!B:O,18,0)+VLOOKUP(A73,'2025数据'!B:G,8,0)+VLOOKUP(A73,'2025数据'!B:O,17,0)</f>
        <v>#REF!</v>
      </c>
      <c r="H73" s="18" t="e">
        <f t="shared" si="19"/>
        <v>#REF!</v>
      </c>
      <c r="I73" s="16">
        <v>1106</v>
      </c>
      <c r="J73" s="16">
        <v>0</v>
      </c>
      <c r="K73" s="16"/>
      <c r="L73" s="16"/>
    </row>
    <row r="74" ht="19" customHeight="1" spans="1:20">
      <c r="A74" s="16" t="s">
        <v>52</v>
      </c>
      <c r="B74" s="16">
        <v>2128</v>
      </c>
      <c r="C74" s="16">
        <v>322</v>
      </c>
      <c r="D74" s="16" t="e">
        <f>VLOOKUP(A74,'2025数据'!B:D,5,0)+VLOOKUP(A74,'2025数据'!B:E,6,0)+VLOOKUP(A74,'2025数据'!B:O,7,0)</f>
        <v>#REF!</v>
      </c>
      <c r="E74" s="17" t="e">
        <f t="shared" si="18"/>
        <v>#REF!</v>
      </c>
      <c r="F74" s="16">
        <v>322</v>
      </c>
      <c r="G74" s="14" t="e">
        <f>VLOOKUP(A74,'2025数据'!B:O,18,0)+VLOOKUP(A74,'2025数据'!B:G,8,0)+VLOOKUP(A74,'2025数据'!B:O,17,0)</f>
        <v>#REF!</v>
      </c>
      <c r="H74" s="18" t="e">
        <f t="shared" si="19"/>
        <v>#REF!</v>
      </c>
      <c r="I74" s="16">
        <v>924</v>
      </c>
      <c r="J74" s="16">
        <v>560</v>
      </c>
      <c r="K74" s="16"/>
      <c r="L74" s="16"/>
    </row>
    <row r="75" ht="19" customHeight="1" spans="1:20">
      <c r="A75" s="16" t="s">
        <v>51</v>
      </c>
      <c r="B75" s="16">
        <v>0</v>
      </c>
      <c r="C75" s="16">
        <v>0</v>
      </c>
      <c r="D75" s="16" t="e">
        <f>VLOOKUP(A75,'2025数据'!B:D,5,0)+VLOOKUP(A75,'2025数据'!B:E,6,0)+VLOOKUP(A75,'2025数据'!B:O,7,0)</f>
        <v>#REF!</v>
      </c>
      <c r="E75" s="17" t="e">
        <f t="shared" si="18"/>
        <v>#REF!</v>
      </c>
      <c r="F75" s="16">
        <v>0</v>
      </c>
      <c r="G75" s="14" t="e">
        <f>VLOOKUP(A75,'2025数据'!B:O,18,0)+VLOOKUP(A75,'2025数据'!B:G,8,0)+VLOOKUP(A75,'2025数据'!B:O,17,0)</f>
        <v>#REF!</v>
      </c>
      <c r="H75" s="18" t="e">
        <f t="shared" si="19"/>
        <v>#REF!</v>
      </c>
      <c r="I75" s="16">
        <v>0</v>
      </c>
      <c r="J75" s="16">
        <v>0</v>
      </c>
      <c r="K75" s="16"/>
      <c r="L75" s="16"/>
      <c r="O75" s="20"/>
      <c r="P75" s="21"/>
      <c r="Q75" s="21"/>
      <c r="R75" s="21"/>
      <c r="S75" s="21"/>
      <c r="T75" s="21"/>
    </row>
    <row r="76" ht="19" customHeight="1" spans="1:20">
      <c r="A76" s="16" t="s">
        <v>45</v>
      </c>
      <c r="B76" s="16">
        <v>84.28</v>
      </c>
      <c r="C76" s="16">
        <v>84.28</v>
      </c>
      <c r="D76" s="16" t="e">
        <f>VLOOKUP(A76,'2025数据'!B:D,5,0)+VLOOKUP(A76,'2025数据'!B:E,6,0)+VLOOKUP(A76,'2025数据'!B:O,7,0)</f>
        <v>#REF!</v>
      </c>
      <c r="E76" s="17" t="e">
        <f t="shared" si="18"/>
        <v>#REF!</v>
      </c>
      <c r="F76" s="16">
        <v>0</v>
      </c>
      <c r="G76" s="14" t="e">
        <f>VLOOKUP(A76,'2025数据'!B:O,18,0)+VLOOKUP(A76,'2025数据'!B:G,8,0)+VLOOKUP(A76,'2025数据'!B:O,17,0)</f>
        <v>#REF!</v>
      </c>
      <c r="H76" s="18" t="e">
        <f t="shared" si="19"/>
        <v>#REF!</v>
      </c>
      <c r="I76" s="16">
        <v>0</v>
      </c>
      <c r="J76" s="16">
        <v>0</v>
      </c>
      <c r="K76" s="16"/>
      <c r="L76" s="16"/>
      <c r="O76" s="20"/>
      <c r="P76" s="21"/>
      <c r="Q76" s="21"/>
      <c r="R76" s="21"/>
      <c r="S76" s="21"/>
      <c r="T76" s="21"/>
    </row>
    <row r="77" ht="19" customHeight="1" spans="1:20">
      <c r="A77" s="16" t="s">
        <v>54</v>
      </c>
      <c r="B77" s="16">
        <v>8598.4</v>
      </c>
      <c r="C77" s="16">
        <v>860</v>
      </c>
      <c r="D77" s="16" t="e">
        <f>VLOOKUP(A77,'2025数据'!B:D,5,0)+VLOOKUP(A77,'2025数据'!B:E,6,0)+VLOOKUP(A77,'2025数据'!B:O,7,0)</f>
        <v>#REF!</v>
      </c>
      <c r="E77" s="17" t="e">
        <f t="shared" si="18"/>
        <v>#REF!</v>
      </c>
      <c r="F77" s="16">
        <v>1897</v>
      </c>
      <c r="G77" s="14" t="e">
        <f>VLOOKUP(A77,'2025数据'!B:O,18,0)+VLOOKUP(A77,'2025数据'!B:G,8,0)+VLOOKUP(A77,'2025数据'!B:O,17,0)</f>
        <v>#REF!</v>
      </c>
      <c r="H77" s="18" t="e">
        <f t="shared" si="19"/>
        <v>#REF!</v>
      </c>
      <c r="I77" s="16">
        <v>2611</v>
      </c>
      <c r="J77" s="16">
        <v>3230.4</v>
      </c>
      <c r="K77" s="16"/>
      <c r="L77" s="16"/>
    </row>
    <row r="78" ht="19" customHeight="1" spans="1:20">
      <c r="A78" s="16" t="s">
        <v>56</v>
      </c>
      <c r="B78" s="16">
        <v>4905.572</v>
      </c>
      <c r="C78" s="16">
        <v>643.572</v>
      </c>
      <c r="D78" s="16" t="e">
        <f>VLOOKUP(A78,'2025数据'!B:D,5,0)+VLOOKUP(A78,'2025数据'!B:E,6,0)+VLOOKUP(A78,'2025数据'!B:O,7,0)</f>
        <v>#REF!</v>
      </c>
      <c r="E78" s="17" t="e">
        <f t="shared" si="18"/>
        <v>#REF!</v>
      </c>
      <c r="F78" s="16">
        <v>1065.5</v>
      </c>
      <c r="G78" s="14" t="e">
        <f>VLOOKUP(A78,'2025数据'!B:O,18,0)+VLOOKUP(A78,'2025数据'!B:G,8,0)+VLOOKUP(A78,'2025数据'!B:O,17,0)</f>
        <v>#REF!</v>
      </c>
      <c r="H78" s="18" t="e">
        <f t="shared" si="19"/>
        <v>#REF!</v>
      </c>
      <c r="I78" s="16">
        <v>1833.5</v>
      </c>
      <c r="J78" s="16">
        <v>1363</v>
      </c>
      <c r="K78" s="16"/>
      <c r="L78" s="16"/>
    </row>
    <row r="79" ht="17" customHeight="1" spans="1:20">
      <c r="A79" s="16" t="s">
        <v>153</v>
      </c>
      <c r="B79" s="16">
        <v>11083.128</v>
      </c>
      <c r="C79" s="16">
        <v>305.312</v>
      </c>
      <c r="D79" s="16" t="e">
        <f>VLOOKUP(A79,'2025数据'!B:D,5,0)+VLOOKUP(A79,'2025数据'!B:E,6,0)+VLOOKUP(A79,'2025数据'!B:O,7,0)</f>
        <v>#REF!</v>
      </c>
      <c r="E79" s="17" t="e">
        <f t="shared" si="18"/>
        <v>#REF!</v>
      </c>
      <c r="F79" s="16">
        <v>1844.836</v>
      </c>
      <c r="G79" s="14" t="e">
        <f>VLOOKUP(A79,'2025数据'!B:O,18,0)+VLOOKUP(A79,'2025数据'!B:G,8,0)+VLOOKUP(A79,'2025数据'!B:O,17,0)</f>
        <v>#REF!</v>
      </c>
      <c r="H79" s="18" t="e">
        <f t="shared" si="19"/>
        <v>#REF!</v>
      </c>
      <c r="I79" s="16">
        <v>4254.74</v>
      </c>
      <c r="J79" s="16">
        <v>4678.24</v>
      </c>
      <c r="K79" s="16"/>
      <c r="L79" s="16"/>
    </row>
    <row r="80" ht="19" customHeight="1" spans="1:20">
      <c r="A80" s="14" t="s">
        <v>66</v>
      </c>
      <c r="B80" s="14">
        <v>44198.785840708</v>
      </c>
      <c r="C80" s="14">
        <v>11876.2194690266</v>
      </c>
      <c r="D80" s="14" t="e">
        <f>VLOOKUP(A80,'2025数据'!B:D,5,0)+VLOOKUP(A80,'2025数据'!B:E,6,0)+VLOOKUP(A80,'2025数据'!B:O,7,0)</f>
        <v>#REF!</v>
      </c>
      <c r="E80" s="15" t="e">
        <f t="shared" si="18"/>
        <v>#REF!</v>
      </c>
      <c r="F80" s="14">
        <v>9992.4778761062</v>
      </c>
      <c r="G80" s="14" t="e">
        <f>VLOOKUP(A80,'2025数据'!B:O,18,0)+VLOOKUP(A80,'2025数据'!B:G,8,0)+VLOOKUP(A80,'2025数据'!B:O,17,0)</f>
        <v>#REF!</v>
      </c>
      <c r="H80" s="7" t="e">
        <f t="shared" si="19"/>
        <v>#REF!</v>
      </c>
      <c r="I80" s="14">
        <v>11050.8849557522</v>
      </c>
      <c r="J80" s="14">
        <v>11279.203539823</v>
      </c>
      <c r="K80" s="14"/>
      <c r="L80" s="14"/>
    </row>
    <row r="81" ht="19" customHeight="1" spans="1:20">
      <c r="A81" s="14" t="s">
        <v>67</v>
      </c>
      <c r="B81" s="14">
        <v>13281.9336340445</v>
      </c>
      <c r="C81" s="14">
        <v>2809.34677565487</v>
      </c>
      <c r="D81" s="14" t="e">
        <f>VLOOKUP(A81,'2025数据'!B:D,5,0)+VLOOKUP(A81,'2025数据'!B:E,6,0)+VLOOKUP(A81,'2025数据'!B:O,7,0)</f>
        <v>#REF!</v>
      </c>
      <c r="E81" s="15" t="e">
        <f t="shared" si="18"/>
        <v>#REF!</v>
      </c>
      <c r="F81" s="14">
        <v>3717.1159734455</v>
      </c>
      <c r="G81" s="14" t="e">
        <f>VLOOKUP(A81,'2025数据'!B:O,18,0)+VLOOKUP(A81,'2025数据'!B:G,8,0)+VLOOKUP(A81,'2025数据'!B:O,17,0)</f>
        <v>#REF!</v>
      </c>
      <c r="H81" s="7" t="e">
        <f t="shared" si="19"/>
        <v>#REF!</v>
      </c>
      <c r="I81" s="14">
        <v>3717.1159734455</v>
      </c>
      <c r="J81" s="14">
        <v>3038.35491149861</v>
      </c>
      <c r="K81" s="14"/>
      <c r="L81" s="14"/>
    </row>
    <row r="82" ht="19" customHeight="1" spans="1:20">
      <c r="A82" s="14" t="s">
        <v>161</v>
      </c>
      <c r="B82" s="14">
        <v>10296.8797515044</v>
      </c>
      <c r="C82" s="14">
        <v>0</v>
      </c>
      <c r="D82" s="14">
        <v>0</v>
      </c>
      <c r="E82" s="15">
        <f t="shared" si="18"/>
        <v>0</v>
      </c>
      <c r="F82" s="14">
        <v>0</v>
      </c>
      <c r="G82" s="14">
        <v>0</v>
      </c>
      <c r="H82" s="7">
        <f t="shared" si="19"/>
        <v>0</v>
      </c>
      <c r="I82" s="14">
        <v>2574.2199378761</v>
      </c>
      <c r="J82" s="14">
        <v>7722.6598136283</v>
      </c>
      <c r="K82" s="14"/>
      <c r="L82" s="14"/>
    </row>
    <row r="83" ht="19" customHeight="1" spans="1:20">
      <c r="A83" s="14" t="s">
        <v>69</v>
      </c>
      <c r="B83" s="14">
        <v>6371.68141592921</v>
      </c>
      <c r="C83" s="14">
        <v>0</v>
      </c>
      <c r="D83" s="14">
        <v>0</v>
      </c>
      <c r="E83" s="15">
        <f t="shared" si="18"/>
        <v>0</v>
      </c>
      <c r="F83" s="14">
        <v>1941.64247787611</v>
      </c>
      <c r="G83" s="14" t="e">
        <f>VLOOKUP(A83,'2025数据'!B:O,18,0)+VLOOKUP(A83,'2025数据'!B:G,8,0)+VLOOKUP(A83,'2025数据'!B:O,17,0)</f>
        <v>#REF!</v>
      </c>
      <c r="H83" s="7" t="e">
        <f t="shared" si="19"/>
        <v>#REF!</v>
      </c>
      <c r="I83" s="14">
        <v>1911.50442477876</v>
      </c>
      <c r="J83" s="14">
        <v>2518.53451327433</v>
      </c>
      <c r="K83" s="14"/>
      <c r="L83" s="14"/>
    </row>
    <row r="84" ht="19" customHeight="1" spans="1:20">
      <c r="A84" s="14" t="s">
        <v>68</v>
      </c>
      <c r="B84" s="14">
        <v>2550.832</v>
      </c>
      <c r="C84" s="14">
        <v>2192.187</v>
      </c>
      <c r="D84" s="14" t="e">
        <f>VLOOKUP(A84,'2025数据'!B:D,5,0)+VLOOKUP(A84,'2025数据'!B:E,6,0)+VLOOKUP(A84,'2025数据'!B:O,7,0)</f>
        <v>#REF!</v>
      </c>
      <c r="E84" s="15" t="e">
        <f t="shared" si="18"/>
        <v>#REF!</v>
      </c>
      <c r="F84" s="14">
        <v>358.645</v>
      </c>
      <c r="G84" s="14" t="e">
        <f>VLOOKUP(A84,'2025数据'!B:O,18,0)+VLOOKUP(A84,'2025数据'!B:G,8,0)+VLOOKUP(A84,'2025数据'!B:O,17,0)</f>
        <v>#REF!</v>
      </c>
      <c r="H84" s="7" t="e">
        <f t="shared" si="19"/>
        <v>#REF!</v>
      </c>
      <c r="I84" s="14">
        <v>0</v>
      </c>
      <c r="J84" s="14">
        <v>0</v>
      </c>
      <c r="K84" s="14"/>
      <c r="L84" s="14"/>
    </row>
    <row r="85" ht="19" customHeight="1" spans="1:20">
      <c r="A85" s="14" t="s">
        <v>71</v>
      </c>
      <c r="B85" s="14">
        <v>11317.1617699115</v>
      </c>
      <c r="C85" s="14">
        <v>7057.48920353982</v>
      </c>
      <c r="D85" s="14" t="e">
        <f>VLOOKUP(A85,'2025数据'!B:D,5,0)+VLOOKUP(A85,'2025数据'!B:E,6,0)+VLOOKUP(A85,'2025数据'!B:O,7,0)</f>
        <v>#REF!</v>
      </c>
      <c r="E85" s="15" t="e">
        <f t="shared" si="18"/>
        <v>#REF!</v>
      </c>
      <c r="F85" s="14">
        <v>3187.17256637168</v>
      </c>
      <c r="G85" s="14" t="e">
        <f>VLOOKUP(A85,'2025数据'!B:O,18,0)+VLOOKUP(A85,'2025数据'!B:G,8,0)+VLOOKUP(A85,'2025数据'!B:O,17,0)</f>
        <v>#REF!</v>
      </c>
      <c r="H85" s="7" t="e">
        <f t="shared" si="19"/>
        <v>#REF!</v>
      </c>
      <c r="I85" s="14">
        <v>1072.5</v>
      </c>
      <c r="J85" s="14">
        <v>0</v>
      </c>
      <c r="K85" s="14"/>
      <c r="L85" s="14"/>
    </row>
    <row r="86" ht="19" customHeight="1" spans="1:20">
      <c r="A86" s="14" t="s">
        <v>70</v>
      </c>
      <c r="B86" s="14">
        <v>4132.65299185841</v>
      </c>
      <c r="C86" s="14">
        <v>2266.16847858407</v>
      </c>
      <c r="D86" s="14" t="e">
        <f>VLOOKUP(A86,'2025数据'!B:D,5,0)+VLOOKUP(A86,'2025数据'!B:E,6,0)+VLOOKUP(A86,'2025数据'!B:O,7,0)</f>
        <v>#REF!</v>
      </c>
      <c r="E86" s="15" t="e">
        <f t="shared" si="18"/>
        <v>#REF!</v>
      </c>
      <c r="F86" s="14">
        <v>1447.39088495575</v>
      </c>
      <c r="G86" s="14" t="e">
        <f>VLOOKUP(A86,'2025数据'!B:O,18,0)+VLOOKUP(A86,'2025数据'!B:G,8,0)+VLOOKUP(A86,'2025数据'!B:O,17,0)</f>
        <v>#REF!</v>
      </c>
      <c r="H86" s="7" t="e">
        <f t="shared" si="19"/>
        <v>#REF!</v>
      </c>
      <c r="I86" s="14">
        <v>230.973451327433</v>
      </c>
      <c r="J86" s="14">
        <v>188.12017699115</v>
      </c>
      <c r="K86" s="14"/>
      <c r="L86" s="14"/>
    </row>
    <row r="87" ht="19" customHeight="1" spans="1:20">
      <c r="A87" s="14" t="s">
        <v>72</v>
      </c>
      <c r="B87" s="14">
        <v>1046.49380530973</v>
      </c>
      <c r="C87" s="14">
        <v>1046.49380530974</v>
      </c>
      <c r="D87" s="14" t="e">
        <f>VLOOKUP(A87,'2025数据'!B:D,5,0)+VLOOKUP(A87,'2025数据'!B:E,6,0)+VLOOKUP(A87,'2025数据'!B:O,7,0)</f>
        <v>#REF!</v>
      </c>
      <c r="E87" s="15" t="e">
        <f t="shared" si="18"/>
        <v>#REF!</v>
      </c>
      <c r="F87" s="14">
        <v>0</v>
      </c>
      <c r="G87" s="14" t="e">
        <f>VLOOKUP(A87,'2025数据'!B:O,18,0)+VLOOKUP(A87,'2025数据'!B:G,8,0)+VLOOKUP(A87,'2025数据'!B:O,17,0)</f>
        <v>#REF!</v>
      </c>
      <c r="H87" s="7" t="e">
        <f t="shared" si="19"/>
        <v>#REF!</v>
      </c>
      <c r="I87" s="14">
        <v>0</v>
      </c>
      <c r="J87" s="14">
        <v>0</v>
      </c>
      <c r="K87" s="14"/>
      <c r="L87" s="14"/>
    </row>
    <row r="88" ht="19" customHeight="1" spans="1:20">
      <c r="A88" s="14" t="s">
        <v>78</v>
      </c>
      <c r="B88" s="14">
        <v>0</v>
      </c>
      <c r="C88" s="14">
        <v>0</v>
      </c>
      <c r="D88" s="14" t="e">
        <f>VLOOKUP(A88,'2025数据'!B:D,5,0)+VLOOKUP(A88,'2025数据'!B:E,6,0)+VLOOKUP(A88,'2025数据'!B:O,7,0)</f>
        <v>#REF!</v>
      </c>
      <c r="E88" s="15" t="e">
        <f t="shared" si="18"/>
        <v>#REF!</v>
      </c>
      <c r="F88" s="14">
        <v>0</v>
      </c>
      <c r="G88" s="14" t="e">
        <f>VLOOKUP(A88,'2025数据'!B:O,18,0)+VLOOKUP(A88,'2025数据'!B:G,8,0)+VLOOKUP(A88,'2025数据'!B:O,17,0)</f>
        <v>#REF!</v>
      </c>
      <c r="H88" s="7" t="e">
        <f t="shared" si="19"/>
        <v>#REF!</v>
      </c>
      <c r="I88" s="14">
        <v>0</v>
      </c>
      <c r="J88" s="14">
        <v>0</v>
      </c>
      <c r="K88" s="14"/>
      <c r="L88" s="14"/>
      <c r="O88" s="20"/>
      <c r="P88" s="21"/>
      <c r="Q88" s="21"/>
      <c r="R88" s="21"/>
      <c r="S88" s="21"/>
      <c r="T88" s="21"/>
    </row>
    <row r="89" ht="19" customHeight="1" spans="1:20">
      <c r="A89" s="14" t="s">
        <v>154</v>
      </c>
      <c r="B89" s="14">
        <v>4373.6</v>
      </c>
      <c r="C89" s="14">
        <v>0</v>
      </c>
      <c r="D89" s="14">
        <v>0</v>
      </c>
      <c r="E89" s="15">
        <f t="shared" si="18"/>
        <v>0</v>
      </c>
      <c r="F89" s="14">
        <v>0</v>
      </c>
      <c r="G89" s="14">
        <v>0</v>
      </c>
      <c r="H89" s="7">
        <f t="shared" si="19"/>
        <v>0</v>
      </c>
      <c r="I89" s="14">
        <v>1732.5</v>
      </c>
      <c r="J89" s="14">
        <v>2641.1</v>
      </c>
      <c r="K89" s="14"/>
      <c r="L89" s="14"/>
    </row>
    <row r="90" ht="19" customHeight="1" spans="1:20">
      <c r="A90" s="14" t="s">
        <v>155</v>
      </c>
      <c r="B90" s="14">
        <v>1050</v>
      </c>
      <c r="C90" s="14">
        <v>0</v>
      </c>
      <c r="D90" s="14">
        <v>0</v>
      </c>
      <c r="E90" s="15">
        <f t="shared" si="18"/>
        <v>0</v>
      </c>
      <c r="F90" s="14">
        <v>0</v>
      </c>
      <c r="G90" s="14">
        <v>0</v>
      </c>
      <c r="H90" s="7">
        <f t="shared" si="19"/>
        <v>0</v>
      </c>
      <c r="I90" s="14">
        <v>0</v>
      </c>
      <c r="J90" s="14">
        <v>1050</v>
      </c>
      <c r="K90" s="14"/>
      <c r="L90" s="14"/>
    </row>
    <row r="91" ht="19" customHeight="1" spans="1:20">
      <c r="A91" s="14" t="s">
        <v>74</v>
      </c>
      <c r="B91" s="14">
        <v>160.094867256637</v>
      </c>
      <c r="C91" s="14">
        <v>160.094867256637</v>
      </c>
      <c r="D91" s="14" t="e">
        <f>VLOOKUP(A91,'2025数据'!B:D,5,0)+VLOOKUP(A91,'2025数据'!B:E,6,0)+VLOOKUP(A91,'2025数据'!B:O,7,0)</f>
        <v>#REF!</v>
      </c>
      <c r="E91" s="15" t="e">
        <f t="shared" si="18"/>
        <v>#REF!</v>
      </c>
      <c r="F91" s="14">
        <v>0</v>
      </c>
      <c r="G91" s="14" t="e">
        <f>VLOOKUP(A91,'2025数据'!B:O,18,0)+VLOOKUP(A91,'2025数据'!B:G,8,0)+VLOOKUP(A91,'2025数据'!B:O,17,0)</f>
        <v>#REF!</v>
      </c>
      <c r="H91" s="7" t="e">
        <f t="shared" si="19"/>
        <v>#REF!</v>
      </c>
      <c r="I91" s="14">
        <v>0</v>
      </c>
      <c r="J91" s="14">
        <v>0</v>
      </c>
      <c r="K91" s="14"/>
      <c r="L91" s="14"/>
    </row>
    <row r="92" ht="19" customHeight="1" spans="1:20">
      <c r="A92" s="14" t="s">
        <v>73</v>
      </c>
      <c r="B92" s="14">
        <v>130.088495575221</v>
      </c>
      <c r="C92" s="14">
        <v>130.088495575221</v>
      </c>
      <c r="D92" s="14" t="e">
        <f>VLOOKUP(A92,'2025数据'!B:D,5,0)+VLOOKUP(A92,'2025数据'!B:E,6,0)+VLOOKUP(A92,'2025数据'!B:O,7,0)</f>
        <v>#REF!</v>
      </c>
      <c r="E92" s="15" t="e">
        <f t="shared" si="18"/>
        <v>#REF!</v>
      </c>
      <c r="F92" s="14">
        <v>0</v>
      </c>
      <c r="G92" s="14" t="e">
        <f>VLOOKUP(A92,'2025数据'!B:O,18,0)+VLOOKUP(A92,'2025数据'!B:G,8,0)+VLOOKUP(A92,'2025数据'!B:O,17,0)</f>
        <v>#REF!</v>
      </c>
      <c r="H92" s="7" t="e">
        <f t="shared" si="19"/>
        <v>#REF!</v>
      </c>
      <c r="I92" s="14">
        <v>0</v>
      </c>
      <c r="J92" s="14">
        <v>0</v>
      </c>
      <c r="K92" s="14"/>
      <c r="L92" s="14"/>
    </row>
    <row r="93" ht="19" customHeight="1" spans="1:20">
      <c r="A93" s="14" t="s">
        <v>77</v>
      </c>
      <c r="B93" s="14">
        <v>0</v>
      </c>
      <c r="C93" s="14">
        <v>0</v>
      </c>
      <c r="D93" s="14" t="e">
        <f>VLOOKUP(A93,'2025数据'!B:D,5,0)+VLOOKUP(A93,'2025数据'!B:E,6,0)+VLOOKUP(A93,'2025数据'!B:O,7,0)</f>
        <v>#REF!</v>
      </c>
      <c r="E93" s="15" t="e">
        <f t="shared" si="18"/>
        <v>#REF!</v>
      </c>
      <c r="F93" s="14">
        <v>0</v>
      </c>
      <c r="G93" s="14" t="e">
        <f>VLOOKUP(A93,'2025数据'!B:O,18,0)+VLOOKUP(A93,'2025数据'!B:G,8,0)+VLOOKUP(A93,'2025数据'!B:O,17,0)</f>
        <v>#REF!</v>
      </c>
      <c r="H93" s="7" t="e">
        <f t="shared" si="19"/>
        <v>#REF!</v>
      </c>
      <c r="I93" s="14">
        <v>0</v>
      </c>
      <c r="J93" s="14">
        <v>0</v>
      </c>
      <c r="K93" s="14"/>
      <c r="L93" s="14"/>
    </row>
    <row r="94" ht="19" customHeight="1" spans="1:20">
      <c r="A94" s="14" t="s">
        <v>76</v>
      </c>
      <c r="B94" s="14">
        <v>0</v>
      </c>
      <c r="C94" s="14">
        <v>0</v>
      </c>
      <c r="D94" s="14" t="e">
        <f>VLOOKUP(A94,'2025数据'!B:D,5,0)+VLOOKUP(A94,'2025数据'!B:E,6,0)+VLOOKUP(A94,'2025数据'!B:O,7,0)</f>
        <v>#REF!</v>
      </c>
      <c r="E94" s="15" t="e">
        <f t="shared" si="18"/>
        <v>#REF!</v>
      </c>
      <c r="F94" s="14">
        <v>0</v>
      </c>
      <c r="G94" s="14" t="e">
        <f>VLOOKUP(A94,'2025数据'!B:O,18,0)+VLOOKUP(A94,'2025数据'!B:G,8,0)+VLOOKUP(A94,'2025数据'!B:O,17,0)</f>
        <v>#REF!</v>
      </c>
      <c r="H94" s="7" t="e">
        <f t="shared" si="19"/>
        <v>#REF!</v>
      </c>
      <c r="I94" s="14">
        <v>0</v>
      </c>
      <c r="J94" s="14">
        <v>0</v>
      </c>
      <c r="K94" s="14"/>
      <c r="L94" s="14"/>
    </row>
    <row r="95" ht="19" customHeight="1" spans="1:20">
      <c r="A95" s="14" t="s">
        <v>79</v>
      </c>
      <c r="B95" s="14">
        <v>9672.79699115042</v>
      </c>
      <c r="C95" s="14">
        <v>11.3264601769911</v>
      </c>
      <c r="D95" s="14" t="e">
        <f>VLOOKUP(A95,'2025数据'!B:D,5,0)+VLOOKUP(A95,'2025数据'!B:E,6,0)+VLOOKUP(A95,'2025数据'!B:O,7,0)</f>
        <v>#REF!</v>
      </c>
      <c r="E95" s="15" t="e">
        <f t="shared" si="18"/>
        <v>#REF!</v>
      </c>
      <c r="F95" s="14">
        <v>2265.29203539822</v>
      </c>
      <c r="G95" s="14" t="e">
        <f>VLOOKUP(A95,'2025数据'!B:O,18,0)+VLOOKUP(A95,'2025数据'!B:G,8,0)+VLOOKUP(A95,'2025数据'!B:O,17,0)</f>
        <v>#REF!</v>
      </c>
      <c r="H95" s="7" t="e">
        <f t="shared" si="19"/>
        <v>#REF!</v>
      </c>
      <c r="I95" s="14">
        <v>3397.93805309733</v>
      </c>
      <c r="J95" s="14">
        <v>3998.24044247786</v>
      </c>
      <c r="K95" s="14"/>
      <c r="L95" s="14"/>
      <c r="O95" s="20"/>
      <c r="P95" s="21"/>
      <c r="Q95" s="21"/>
      <c r="R95" s="21"/>
      <c r="S95" s="21"/>
      <c r="T95" s="21"/>
    </row>
    <row r="96" ht="19" customHeight="1" spans="1:20">
      <c r="A96" s="14"/>
      <c r="B96" s="14"/>
      <c r="C96" s="14"/>
      <c r="D96" s="14"/>
      <c r="E96" s="15"/>
      <c r="F96" s="14"/>
      <c r="G96" s="14"/>
      <c r="H96" s="7"/>
      <c r="I96" s="14"/>
      <c r="J96" s="14"/>
      <c r="K96" s="14"/>
      <c r="L96" s="14"/>
    </row>
    <row r="97" ht="19" customHeight="1" spans="1:13">
      <c r="A97" s="14"/>
      <c r="B97" s="14"/>
      <c r="C97" s="14"/>
      <c r="D97" s="14"/>
      <c r="E97" s="15"/>
      <c r="F97" s="14"/>
      <c r="G97" s="14"/>
      <c r="H97" s="7"/>
      <c r="I97" s="14"/>
      <c r="J97" s="14"/>
      <c r="K97" s="14"/>
      <c r="L97" s="14"/>
    </row>
    <row r="98" ht="19" customHeight="1" spans="1:13">
      <c r="A98" s="2" t="s">
        <v>156</v>
      </c>
      <c r="B98" s="2" t="s">
        <v>160</v>
      </c>
      <c r="C98" s="2" t="s">
        <v>0</v>
      </c>
      <c r="D98" s="2" t="s">
        <v>0</v>
      </c>
      <c r="E98" s="4" t="s">
        <v>109</v>
      </c>
      <c r="F98" s="2" t="s">
        <v>6</v>
      </c>
      <c r="G98" s="2" t="s">
        <v>6</v>
      </c>
      <c r="H98" s="5" t="s">
        <v>109</v>
      </c>
      <c r="I98" s="2" t="s">
        <v>11</v>
      </c>
      <c r="J98" s="2" t="s">
        <v>140</v>
      </c>
      <c r="K98" s="2"/>
      <c r="L98" s="2"/>
    </row>
    <row r="99" ht="19" customHeight="1" spans="1:13">
      <c r="A99" s="2"/>
      <c r="B99" s="2" t="s">
        <v>143</v>
      </c>
      <c r="C99" s="2" t="s">
        <v>143</v>
      </c>
      <c r="D99" s="2" t="s">
        <v>157</v>
      </c>
      <c r="E99" s="4"/>
      <c r="F99" s="2" t="s">
        <v>143</v>
      </c>
      <c r="G99" s="2" t="s">
        <v>158</v>
      </c>
      <c r="H99" s="5"/>
      <c r="I99" s="2" t="s">
        <v>143</v>
      </c>
      <c r="J99" s="2" t="s">
        <v>143</v>
      </c>
      <c r="K99" s="2"/>
      <c r="L99" s="2"/>
    </row>
    <row r="100" ht="19" customHeight="1" spans="1:13">
      <c r="A100" s="14" t="s">
        <v>99</v>
      </c>
      <c r="B100" s="14">
        <v>100006.41</v>
      </c>
      <c r="C100" s="14">
        <v>19853.68</v>
      </c>
      <c r="D100" s="14" t="e">
        <f>VLOOKUP(A100,'2025数据'!B:D,5,0)+VLOOKUP(A100,'2025数据'!B:E,6,0)+VLOOKUP(A100,'2025数据'!B:O,7,0)</f>
        <v>#REF!</v>
      </c>
      <c r="E100" s="15" t="e">
        <f t="shared" ref="E100:E106" si="20">D100-C100</f>
        <v>#REF!</v>
      </c>
      <c r="F100" s="14">
        <v>30171.82</v>
      </c>
      <c r="G100" s="14" t="e">
        <f>VLOOKUP(A100,'2025数据'!B:O,18,0)+VLOOKUP(A100,'2025数据'!B:G,8,0)+VLOOKUP(A100,'2025数据'!B:O,17,0)</f>
        <v>#REF!</v>
      </c>
      <c r="H100" s="7" t="e">
        <f t="shared" ref="H100:H106" si="21">G100-F100</f>
        <v>#REF!</v>
      </c>
      <c r="I100" s="14">
        <v>31564.68</v>
      </c>
      <c r="J100" s="14">
        <v>18416.23</v>
      </c>
      <c r="K100" s="14"/>
      <c r="L100" s="14"/>
      <c r="M100" s="14"/>
    </row>
    <row r="101" ht="19" customHeight="1" spans="1:13">
      <c r="A101" s="14" t="s">
        <v>100</v>
      </c>
      <c r="B101" s="14">
        <v>50007.055</v>
      </c>
      <c r="C101" s="14">
        <v>7419.755</v>
      </c>
      <c r="D101" s="14" t="e">
        <f>VLOOKUP(A101,'2025数据'!B:D,5,0)+VLOOKUP(A101,'2025数据'!B:E,6,0)+VLOOKUP(A101,'2025数据'!B:O,7,0)</f>
        <v>#REF!</v>
      </c>
      <c r="E101" s="15" t="e">
        <f t="shared" si="20"/>
        <v>#REF!</v>
      </c>
      <c r="F101" s="14">
        <v>7229.6</v>
      </c>
      <c r="G101" s="14" t="e">
        <f>VLOOKUP(A101,'2025数据'!B:O,18,0)+VLOOKUP(A101,'2025数据'!B:G,8,0)+VLOOKUP(A101,'2025数据'!B:O,17,0)</f>
        <v>#REF!</v>
      </c>
      <c r="H101" s="7" t="e">
        <f t="shared" si="21"/>
        <v>#REF!</v>
      </c>
      <c r="I101" s="14">
        <v>15054.9</v>
      </c>
      <c r="J101" s="14">
        <v>20302.8</v>
      </c>
      <c r="K101" s="14"/>
      <c r="L101" s="14"/>
      <c r="M101" s="14"/>
    </row>
    <row r="102" ht="19" customHeight="1" spans="1:13">
      <c r="A102" s="14" t="s">
        <v>101</v>
      </c>
      <c r="B102" s="14">
        <v>13503.972</v>
      </c>
      <c r="C102" s="14">
        <v>1503.572</v>
      </c>
      <c r="D102" s="14" t="e">
        <f>VLOOKUP(A102,'2025数据'!B:D,5,0)+VLOOKUP(A102,'2025数据'!B:E,6,0)+VLOOKUP(A102,'2025数据'!B:O,7,0)</f>
        <v>#REF!</v>
      </c>
      <c r="E102" s="15" t="e">
        <f t="shared" si="20"/>
        <v>#REF!</v>
      </c>
      <c r="F102" s="14">
        <v>2962.5</v>
      </c>
      <c r="G102" s="14" t="e">
        <f>VLOOKUP(A102,'2025数据'!B:O,18,0)+VLOOKUP(A102,'2025数据'!B:G,8,0)+VLOOKUP(A102,'2025数据'!B:O,17,0)</f>
        <v>#REF!</v>
      </c>
      <c r="H102" s="7" t="e">
        <f t="shared" si="21"/>
        <v>#REF!</v>
      </c>
      <c r="I102" s="14">
        <v>4444.5</v>
      </c>
      <c r="J102" s="14">
        <v>4593.4</v>
      </c>
      <c r="K102" s="14"/>
      <c r="L102" s="14"/>
      <c r="M102" s="14"/>
    </row>
    <row r="103" ht="19" customHeight="1" spans="1:13">
      <c r="A103" s="14" t="s">
        <v>102</v>
      </c>
      <c r="B103" s="14">
        <v>16506.728</v>
      </c>
      <c r="C103" s="14">
        <v>305.312</v>
      </c>
      <c r="D103" s="14" t="e">
        <f>VLOOKUP(A103,'2025数据'!B:D,5,0)+VLOOKUP(A103,'2025数据'!B:E,6,0)+VLOOKUP(A103,'2025数据'!B:O,7,0)</f>
        <v>#REF!</v>
      </c>
      <c r="E103" s="15" t="e">
        <f t="shared" si="20"/>
        <v>#REF!</v>
      </c>
      <c r="F103" s="14">
        <v>1844.836</v>
      </c>
      <c r="G103" s="14" t="e">
        <f>VLOOKUP(A103,'2025数据'!B:O,18,0)+VLOOKUP(A103,'2025数据'!B:G,8,0)+VLOOKUP(A103,'2025数据'!B:O,17,0)</f>
        <v>#REF!</v>
      </c>
      <c r="H103" s="7" t="e">
        <f t="shared" si="21"/>
        <v>#REF!</v>
      </c>
      <c r="I103" s="14">
        <v>5987.24</v>
      </c>
      <c r="J103" s="14">
        <v>8369.34</v>
      </c>
      <c r="K103" s="14"/>
      <c r="L103" s="14"/>
      <c r="M103" s="14"/>
    </row>
    <row r="104" ht="19" customHeight="1" spans="1:13">
      <c r="A104" s="14" t="s">
        <v>159</v>
      </c>
      <c r="B104" s="14">
        <v>181000.08032431</v>
      </c>
      <c r="C104" s="14">
        <v>30731.1355455663</v>
      </c>
      <c r="D104" s="14" t="e">
        <f>VLOOKUP(A104,'2025数据'!B:D,5,0)+VLOOKUP(A104,'2025数据'!B:E,6,0)+VLOOKUP(A104,'2025数据'!B:O,7,0)</f>
        <v>#N/A</v>
      </c>
      <c r="E104" s="15" t="e">
        <f t="shared" si="20"/>
        <v>#N/A</v>
      </c>
      <c r="F104" s="14">
        <v>32425.1154867199</v>
      </c>
      <c r="G104" s="14" t="e">
        <f>VLOOKUP(A104,'2025数据'!B:O,18,0)+VLOOKUP(A104,'2025数据'!B:G,8,0)+VLOOKUP(A104,'2025数据'!B:O,17,0)</f>
        <v>#N/A</v>
      </c>
      <c r="H104" s="7" t="e">
        <f t="shared" si="21"/>
        <v>#N/A</v>
      </c>
      <c r="I104" s="14">
        <v>47246.7743805252</v>
      </c>
      <c r="J104" s="14">
        <v>70597.0549114986</v>
      </c>
      <c r="K104" s="14"/>
      <c r="L104" s="14"/>
      <c r="M104" s="14"/>
    </row>
    <row r="105" ht="19" customHeight="1" spans="1:13">
      <c r="A105" s="14" t="s">
        <v>104</v>
      </c>
      <c r="B105" s="14">
        <v>65000</v>
      </c>
      <c r="C105" s="14">
        <v>14142.3879476106</v>
      </c>
      <c r="D105" s="14" t="e">
        <f>VLOOKUP(A105,'2025数据'!B:D,5,0)+VLOOKUP(A105,'2025数据'!B:E,6,0)+VLOOKUP(A105,'2025数据'!B:O,7,0)</f>
        <v>#REF!</v>
      </c>
      <c r="E105" s="15" t="e">
        <f t="shared" si="20"/>
        <v>#REF!</v>
      </c>
      <c r="F105" s="14">
        <v>13381.5112389381</v>
      </c>
      <c r="G105" s="14" t="e">
        <f>VLOOKUP(A105,'2025数据'!B:O,18,0)+VLOOKUP(A105,'2025数据'!B:G,8,0)+VLOOKUP(A105,'2025数据'!B:O,17,0)</f>
        <v>#REF!</v>
      </c>
      <c r="H105" s="7" t="e">
        <f t="shared" si="21"/>
        <v>#REF!</v>
      </c>
      <c r="I105" s="14">
        <v>15767.5827697345</v>
      </c>
      <c r="J105" s="14">
        <v>21708.5180437168</v>
      </c>
      <c r="K105" s="14"/>
      <c r="L105" s="14"/>
      <c r="M105" s="14"/>
    </row>
    <row r="106" ht="19" customHeight="1" spans="1:13">
      <c r="A106" s="14" t="s">
        <v>105</v>
      </c>
      <c r="B106" s="14">
        <v>11009.474159292</v>
      </c>
      <c r="C106" s="14">
        <v>1348.00362831858</v>
      </c>
      <c r="D106" s="14" t="e">
        <f>VLOOKUP(A106,'2025数据'!B:D,5,0)+VLOOKUP(A106,'2025数据'!B:E,6,0)+VLOOKUP(A106,'2025数据'!B:O,7,0)</f>
        <v>#REF!</v>
      </c>
      <c r="E106" s="15" t="e">
        <f t="shared" si="20"/>
        <v>#REF!</v>
      </c>
      <c r="F106" s="14">
        <v>2265.29203539822</v>
      </c>
      <c r="G106" s="14" t="e">
        <f>VLOOKUP(A106,'2025数据'!B:O,18,0)+VLOOKUP(A106,'2025数据'!B:G,8,0)+VLOOKUP(A106,'2025数据'!B:O,17,0)</f>
        <v>#REF!</v>
      </c>
      <c r="H106" s="7" t="e">
        <f t="shared" si="21"/>
        <v>#REF!</v>
      </c>
      <c r="I106" s="14">
        <v>3397.93805309733</v>
      </c>
      <c r="J106" s="14">
        <v>3998.24044247786</v>
      </c>
      <c r="K106" s="14"/>
      <c r="L106" s="14"/>
      <c r="M106" s="14"/>
    </row>
    <row r="107" ht="19" customHeight="1" spans="1:13">
      <c r="A107" s="22" t="s">
        <v>107</v>
      </c>
      <c r="B107" s="13">
        <f t="shared" ref="B107:J107" si="22">SUM(B100:B106)</f>
        <v>437033.719483602</v>
      </c>
      <c r="C107" s="13">
        <f t="shared" si="22"/>
        <v>75303.8461214955</v>
      </c>
      <c r="D107" s="13" t="e">
        <f t="shared" si="22"/>
        <v>#REF!</v>
      </c>
      <c r="E107" s="13" t="e">
        <f t="shared" si="22"/>
        <v>#REF!</v>
      </c>
      <c r="F107" s="13">
        <f t="shared" si="22"/>
        <v>90280.6747610562</v>
      </c>
      <c r="G107" s="13" t="e">
        <f t="shared" si="22"/>
        <v>#REF!</v>
      </c>
      <c r="H107" s="10" t="e">
        <f t="shared" si="22"/>
        <v>#REF!</v>
      </c>
      <c r="I107" s="13">
        <f t="shared" si="22"/>
        <v>123463.615203357</v>
      </c>
      <c r="J107" s="13">
        <f t="shared" si="22"/>
        <v>147985.583397693</v>
      </c>
      <c r="K107" s="13"/>
      <c r="L107" s="13"/>
    </row>
  </sheetData>
  <mergeCells count="16">
    <mergeCell ref="A2:A3"/>
    <mergeCell ref="A13:A14"/>
    <mergeCell ref="C2:C3"/>
    <mergeCell ref="E13:E14"/>
    <mergeCell ref="E48:E49"/>
    <mergeCell ref="E61:E62"/>
    <mergeCell ref="E98:E99"/>
    <mergeCell ref="F2:F3"/>
    <mergeCell ref="H13:H14"/>
    <mergeCell ref="H48:H49"/>
    <mergeCell ref="H61:H62"/>
    <mergeCell ref="H98:H99"/>
    <mergeCell ref="I2:I3"/>
    <mergeCell ref="L2:L3"/>
    <mergeCell ref="Q2:Q3"/>
    <mergeCell ref="R2:R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5"/>
  <sheetViews>
    <sheetView workbookViewId="0">
      <selection activeCell="A1" sqref="A1"/>
    </sheetView>
  </sheetViews>
  <sheetFormatPr defaultColWidth="14" defaultRowHeight="12.75"/>
  <cols>
    <col min="1" max="1" width="14" customWidth="1"/>
    <col min="2" max="10" width="11" customWidth="1"/>
    <col min="11" max="11" width="12" customWidth="1"/>
    <col min="12" max="12" width="11" customWidth="1"/>
    <col min="13" max="13" width="14" customWidth="1"/>
    <col min="14" max="15" width="12" customWidth="1"/>
    <col min="16" max="20" width="11" customWidth="1"/>
  </cols>
  <sheetData>
    <row r="1" ht="19" customHeight="1"/>
    <row r="2" ht="19" customHeight="1" spans="1:11">
      <c r="A2" s="1" t="s">
        <v>15</v>
      </c>
      <c r="B2" s="2" t="s">
        <v>138</v>
      </c>
      <c r="C2" s="3" t="s">
        <v>139</v>
      </c>
      <c r="D2" s="2" t="s">
        <v>0</v>
      </c>
      <c r="E2" s="2" t="s">
        <v>0</v>
      </c>
      <c r="F2" s="4" t="s">
        <v>109</v>
      </c>
      <c r="G2" s="2" t="s">
        <v>6</v>
      </c>
      <c r="H2" s="2" t="s">
        <v>6</v>
      </c>
      <c r="I2" s="5" t="s">
        <v>109</v>
      </c>
      <c r="J2" s="2" t="s">
        <v>11</v>
      </c>
      <c r="K2" s="2" t="s">
        <v>140</v>
      </c>
    </row>
    <row r="3" ht="19" customHeight="1" spans="1:11">
      <c r="A3" s="1"/>
      <c r="B3" s="2" t="s">
        <v>143</v>
      </c>
      <c r="C3" s="3"/>
      <c r="D3" s="2" t="s">
        <v>143</v>
      </c>
      <c r="E3" s="2" t="s">
        <v>158</v>
      </c>
      <c r="F3" s="4"/>
      <c r="G3" s="2" t="s">
        <v>143</v>
      </c>
      <c r="H3" s="2" t="s">
        <v>145</v>
      </c>
      <c r="I3" s="5"/>
      <c r="J3" s="2" t="s">
        <v>143</v>
      </c>
      <c r="K3" s="2" t="s">
        <v>143</v>
      </c>
    </row>
    <row r="4" ht="19" customHeight="1" spans="1:11">
      <c r="A4" s="6" t="s">
        <v>37</v>
      </c>
      <c r="B4" s="7">
        <f>B16</f>
        <v>123850.177920354</v>
      </c>
      <c r="C4" s="8">
        <f>B4/B15</f>
        <v>0.33681491167078</v>
      </c>
      <c r="D4" s="7">
        <f>C16</f>
        <v>18672.1125663717</v>
      </c>
      <c r="E4" s="7" t="e">
        <f>D16</f>
        <v>#REF!</v>
      </c>
      <c r="F4" s="7" t="e">
        <f t="shared" ref="F4:F9" si="0">E4-D4</f>
        <v>#REF!</v>
      </c>
      <c r="G4" s="7">
        <f>F16</f>
        <v>25162.1819469027</v>
      </c>
      <c r="H4" s="7" t="e">
        <f>G16</f>
        <v>#REF!</v>
      </c>
      <c r="I4" s="7" t="e">
        <f t="shared" ref="I4:I9" si="1">H4-G4</f>
        <v>#REF!</v>
      </c>
      <c r="J4" s="7">
        <f>I16</f>
        <v>42457.1584070797</v>
      </c>
      <c r="K4" s="7">
        <f>J16</f>
        <v>37558.725</v>
      </c>
    </row>
    <row r="5" ht="19" customHeight="1" spans="1:11">
      <c r="A5" s="6" t="s">
        <v>35</v>
      </c>
      <c r="B5" s="7">
        <f>B17</f>
        <v>65416.12</v>
      </c>
      <c r="C5" s="8">
        <f>B5/367709.90128077</f>
        <v>0.177901437443346</v>
      </c>
      <c r="D5" s="7">
        <f>C17</f>
        <v>15695.4</v>
      </c>
      <c r="E5" s="7" t="e">
        <f>D17</f>
        <v>#REF!</v>
      </c>
      <c r="F5" s="7" t="e">
        <f t="shared" si="0"/>
        <v>#REF!</v>
      </c>
      <c r="G5" s="7">
        <f>F17</f>
        <v>15177.4</v>
      </c>
      <c r="H5" s="7" t="e">
        <f>G17</f>
        <v>#REF!</v>
      </c>
      <c r="I5" s="7" t="e">
        <f t="shared" si="1"/>
        <v>#REF!</v>
      </c>
      <c r="J5" s="7">
        <f>I17</f>
        <v>19693.8</v>
      </c>
      <c r="K5" s="7">
        <f>J17</f>
        <v>14849.52</v>
      </c>
    </row>
    <row r="6" ht="19" customHeight="1" spans="1:11">
      <c r="A6" s="6" t="s">
        <v>147</v>
      </c>
      <c r="B6" s="7">
        <f>B23+B28+B29+B18+B19+B30+B24+B20+B25+B21+B26+B22+B27</f>
        <v>86249.825</v>
      </c>
      <c r="C6" s="8">
        <f>B6/367709.90128077</f>
        <v>0.234559430408546</v>
      </c>
      <c r="D6" s="7">
        <f>C23+C28+C29+C18+C19+C30+C24+C20+C25+C21+C26+C22+C27</f>
        <v>14273.819</v>
      </c>
      <c r="E6" s="7" t="e">
        <f>D23+D28+D29+D18+D19+D30+D24+D20+D25+D21+D26+D22+D27</f>
        <v>#REF!</v>
      </c>
      <c r="F6" s="7" t="e">
        <f t="shared" si="0"/>
        <v>#REF!</v>
      </c>
      <c r="G6" s="7">
        <f>F23+F28+F29+F18+F19+F30+F24+F20+F25+F21+F26+F22+F27</f>
        <v>19268.356</v>
      </c>
      <c r="H6" s="7" t="e">
        <f>G23+G28+G29+G18+G19+G30+G24+G20+G25+G21+G26+G22+G27</f>
        <v>#REF!</v>
      </c>
      <c r="I6" s="7" t="e">
        <f t="shared" si="1"/>
        <v>#REF!</v>
      </c>
      <c r="J6" s="7">
        <f>I23+I28+I29+I18+I19+I30+I24+I20+I25+I21+I26+I22+I27</f>
        <v>25834.26</v>
      </c>
      <c r="K6" s="7">
        <f>J23+J28+J29+J18+J19+J30+J24+J20+J25+J21+J26+J22+J27</f>
        <v>26873.39</v>
      </c>
    </row>
    <row r="7" ht="19" customHeight="1" spans="1:11">
      <c r="A7" s="6" t="s">
        <v>115</v>
      </c>
      <c r="B7" s="7">
        <f>B31+B32+B34+B33</f>
        <v>61700.0943951064</v>
      </c>
      <c r="C7" s="8">
        <f>B7/367709.90128077</f>
        <v>0.167795575208062</v>
      </c>
      <c r="D7" s="7">
        <f>C31+C32+C34+C33</f>
        <v>16877.7532446815</v>
      </c>
      <c r="E7" s="7" t="e">
        <f>D31+D32+D34+D33</f>
        <v>#REF!</v>
      </c>
      <c r="F7" s="7" t="e">
        <f t="shared" si="0"/>
        <v>#REF!</v>
      </c>
      <c r="G7" s="7">
        <f>F31+F32+F34+F33</f>
        <v>14985.545044242</v>
      </c>
      <c r="H7" s="7" t="e">
        <f>G31+G32+G34+G33</f>
        <v>#REF!</v>
      </c>
      <c r="I7" s="7" t="e">
        <f t="shared" si="1"/>
        <v>#REF!</v>
      </c>
      <c r="J7" s="7">
        <f>I31+I32+I34+I33</f>
        <v>15177.2929645959</v>
      </c>
      <c r="K7" s="7">
        <f>J31+J32+J34+J33</f>
        <v>14659.5031415871</v>
      </c>
    </row>
    <row r="8" ht="19" customHeight="1" spans="1:11">
      <c r="A8" s="6" t="s">
        <v>116</v>
      </c>
      <c r="B8" s="7">
        <f>B35+B36+B37</f>
        <v>16496.3085670796</v>
      </c>
      <c r="C8" s="8">
        <f>B8/367709.90128077</f>
        <v>0.044862290924507</v>
      </c>
      <c r="D8" s="7">
        <f>C35+C36+C37</f>
        <v>10370.1514874336</v>
      </c>
      <c r="E8" s="7" t="e">
        <f>D35+D36+D37+D38</f>
        <v>#REF!</v>
      </c>
      <c r="F8" s="7" t="e">
        <f t="shared" si="0"/>
        <v>#REF!</v>
      </c>
      <c r="G8" s="7">
        <f>F35+F36+F37</f>
        <v>4634.56345132743</v>
      </c>
      <c r="H8" s="7" t="e">
        <f>G35+G36+G37+G38</f>
        <v>#REF!</v>
      </c>
      <c r="I8" s="7" t="e">
        <f t="shared" si="1"/>
        <v>#REF!</v>
      </c>
      <c r="J8" s="7">
        <f>I35+I36+I37</f>
        <v>1303.47345132743</v>
      </c>
      <c r="K8" s="7">
        <f>J35+J36+J37</f>
        <v>188.12017699115</v>
      </c>
    </row>
    <row r="9" ht="19" customHeight="1" spans="1:11">
      <c r="A9" s="6" t="s">
        <v>106</v>
      </c>
      <c r="B9" s="7">
        <f>B41+B39+B40+B42+B43+B44+B45</f>
        <v>13997.3753982301</v>
      </c>
      <c r="C9" s="8">
        <f>B9/367709.90128077</f>
        <v>0.0380663543447588</v>
      </c>
      <c r="D9" s="7">
        <f>C41+C39+C40+C42+C43+C44+C45</f>
        <v>301.509823008849</v>
      </c>
      <c r="E9" s="7" t="e">
        <f>D41+D39+D40+D42+D43+D44+D45</f>
        <v>#REF!</v>
      </c>
      <c r="F9" s="7" t="e">
        <f t="shared" si="0"/>
        <v>#REF!</v>
      </c>
      <c r="G9" s="7">
        <f>F41+F39+F40+F42+F43+F44+F45</f>
        <v>2265.29203539822</v>
      </c>
      <c r="H9" s="7" t="e">
        <f>G41+G39+G40+G42+G43+G44+G45</f>
        <v>#REF!</v>
      </c>
      <c r="I9" s="7" t="e">
        <f t="shared" si="1"/>
        <v>#REF!</v>
      </c>
      <c r="J9" s="7">
        <f>I41+I39+I40+I42+I43+I44+I45</f>
        <v>5130.43805309733</v>
      </c>
      <c r="K9" s="7">
        <f>J41+J39+J40+J42+J43+J44+J45</f>
        <v>6300.13548672565</v>
      </c>
    </row>
    <row r="10" ht="19" customHeight="1" spans="1:11">
      <c r="A10" s="9" t="s">
        <v>107</v>
      </c>
      <c r="B10" s="10">
        <f>SUM(B4:B9)</f>
        <v>367709.90128077</v>
      </c>
      <c r="C10" s="10"/>
      <c r="D10" s="10">
        <f t="shared" ref="D10:K10" si="2">SUM(D4:D9)</f>
        <v>76190.7461214956</v>
      </c>
      <c r="E10" s="10" t="e">
        <f t="shared" si="2"/>
        <v>#REF!</v>
      </c>
      <c r="F10" s="10" t="e">
        <f t="shared" si="2"/>
        <v>#REF!</v>
      </c>
      <c r="G10" s="10">
        <f t="shared" si="2"/>
        <v>81493.3384778703</v>
      </c>
      <c r="H10" s="10" t="e">
        <f t="shared" si="2"/>
        <v>#REF!</v>
      </c>
      <c r="I10" s="10" t="e">
        <f t="shared" si="2"/>
        <v>#REF!</v>
      </c>
      <c r="J10" s="10">
        <f t="shared" si="2"/>
        <v>109596.4228761</v>
      </c>
      <c r="K10" s="10">
        <f t="shared" si="2"/>
        <v>100429.393805304</v>
      </c>
    </row>
    <row r="11" ht="19" customHeight="1" spans="1:11">
      <c r="A11" s="6"/>
      <c r="B11" s="7"/>
      <c r="C11" s="8"/>
      <c r="D11" s="11">
        <f>D10/B10</f>
        <v>0.207203411863852</v>
      </c>
      <c r="E11" s="11" t="e">
        <f>E10/B10</f>
        <v>#REF!</v>
      </c>
      <c r="F11" s="10"/>
      <c r="G11" s="11">
        <f>G10/B10</f>
        <v>0.221623998140983</v>
      </c>
      <c r="H11" s="11" t="e">
        <f>H10/B10</f>
        <v>#REF!</v>
      </c>
      <c r="I11" s="10"/>
      <c r="J11" s="11">
        <f>J10/B10</f>
        <v>0.298051323867987</v>
      </c>
      <c r="K11" s="11">
        <f>K10/B10</f>
        <v>0.273121266127179</v>
      </c>
    </row>
    <row r="12" ht="19" customHeight="1"/>
    <row r="13" ht="19" customHeight="1" spans="1:11">
      <c r="A13" s="1" t="s">
        <v>15</v>
      </c>
      <c r="B13" s="2" t="s">
        <v>138</v>
      </c>
      <c r="C13" s="2" t="s">
        <v>0</v>
      </c>
      <c r="D13" s="2" t="s">
        <v>0</v>
      </c>
      <c r="E13" s="4" t="s">
        <v>109</v>
      </c>
      <c r="F13" s="2" t="s">
        <v>6</v>
      </c>
      <c r="G13" s="2" t="s">
        <v>6</v>
      </c>
      <c r="H13" s="5" t="s">
        <v>109</v>
      </c>
      <c r="I13" s="2" t="s">
        <v>11</v>
      </c>
      <c r="J13" s="2" t="s">
        <v>140</v>
      </c>
    </row>
    <row r="14" ht="19" customHeight="1" spans="1:11">
      <c r="A14" s="1"/>
      <c r="B14" s="2" t="s">
        <v>143</v>
      </c>
      <c r="C14" s="2" t="s">
        <v>143</v>
      </c>
      <c r="D14" s="2" t="s">
        <v>157</v>
      </c>
      <c r="E14" s="4"/>
      <c r="F14" s="2" t="s">
        <v>143</v>
      </c>
      <c r="G14" s="2" t="s">
        <v>145</v>
      </c>
      <c r="H14" s="5"/>
      <c r="I14" s="2" t="s">
        <v>143</v>
      </c>
      <c r="J14" s="2" t="s">
        <v>143</v>
      </c>
    </row>
    <row r="15" ht="19" customHeight="1" spans="1:11">
      <c r="A15" s="12" t="s">
        <v>33</v>
      </c>
      <c r="B15" s="13">
        <f t="shared" ref="B15:J15" si="3">SUM(B16:B45)</f>
        <v>367709.90128077</v>
      </c>
      <c r="C15" s="13">
        <f t="shared" si="3"/>
        <v>76190.7461214956</v>
      </c>
      <c r="D15" s="13" t="e">
        <f t="shared" si="3"/>
        <v>#REF!</v>
      </c>
      <c r="E15" s="13" t="e">
        <f t="shared" si="3"/>
        <v>#REF!</v>
      </c>
      <c r="F15" s="13">
        <f t="shared" si="3"/>
        <v>81493.3384778703</v>
      </c>
      <c r="G15" s="13" t="e">
        <f t="shared" si="3"/>
        <v>#REF!</v>
      </c>
      <c r="H15" s="10" t="e">
        <f t="shared" si="3"/>
        <v>#REF!</v>
      </c>
      <c r="I15" s="10">
        <f t="shared" si="3"/>
        <v>109596.4228761</v>
      </c>
      <c r="J15" s="10">
        <f t="shared" si="3"/>
        <v>100429.393805304</v>
      </c>
    </row>
    <row r="16" ht="19" customHeight="1" spans="1:11">
      <c r="A16" s="14" t="s">
        <v>37</v>
      </c>
      <c r="B16" s="14">
        <v>123850.177920354</v>
      </c>
      <c r="C16" s="14">
        <v>18672.1125663717</v>
      </c>
      <c r="D16" s="14" t="e">
        <f>VLOOKUP(A16,'2025数据'!B:D,5,0)+VLOOKUP(A16,'2025数据'!B:E,6,0)+VLOOKUP(A16,'2025数据'!B:O,17,0)</f>
        <v>#REF!</v>
      </c>
      <c r="E16" s="15" t="e">
        <f t="shared" ref="E16:E45" si="4">D16-C16</f>
        <v>#REF!</v>
      </c>
      <c r="F16" s="14">
        <v>25162.1819469027</v>
      </c>
      <c r="G16" s="14" t="e">
        <f>VLOOKUP(A16,'2025数据'!B:O,18,0)+VLOOKUP(A16,'2025数据'!B:O,19,0)+VLOOKUP(A16,'2025数据'!B:O,17,0)</f>
        <v>#REF!</v>
      </c>
      <c r="H16" s="7" t="e">
        <f t="shared" ref="H16:H45" si="5">G16-F16</f>
        <v>#REF!</v>
      </c>
      <c r="I16" s="14">
        <v>42457.1584070797</v>
      </c>
      <c r="J16" s="14">
        <v>37558.725</v>
      </c>
    </row>
    <row r="17" ht="19" customHeight="1" spans="1:12">
      <c r="A17" s="14" t="s">
        <v>35</v>
      </c>
      <c r="B17" s="14">
        <v>65416.12</v>
      </c>
      <c r="C17" s="14">
        <v>15695.4</v>
      </c>
      <c r="D17" s="14" t="e">
        <f>VLOOKUP(A17,'2025数据'!B:D,5,0)+VLOOKUP(A17,'2025数据'!B:E,6,0)+VLOOKUP(A17,'2025数据'!B:O,17,0)</f>
        <v>#REF!</v>
      </c>
      <c r="E17" s="15" t="e">
        <f t="shared" si="4"/>
        <v>#REF!</v>
      </c>
      <c r="F17" s="14">
        <v>15177.4</v>
      </c>
      <c r="G17" s="14" t="e">
        <f>VLOOKUP(A17,'2025数据'!B:O,18,0)+VLOOKUP(A17,'2025数据'!B:O,19,0)+VLOOKUP(A17,'2025数据'!B:O,17,0)</f>
        <v>#REF!</v>
      </c>
      <c r="H17" s="7" t="e">
        <f t="shared" si="5"/>
        <v>#REF!</v>
      </c>
      <c r="I17" s="14">
        <v>19693.8</v>
      </c>
      <c r="J17" s="14">
        <v>14849.52</v>
      </c>
    </row>
    <row r="18" ht="19" customHeight="1" spans="1:12">
      <c r="A18" s="16" t="s">
        <v>43</v>
      </c>
      <c r="B18" s="16">
        <v>5762.68</v>
      </c>
      <c r="C18" s="16">
        <v>2048.9</v>
      </c>
      <c r="D18" s="16" t="e">
        <f>VLOOKUP(A18,'2025数据'!B:D,5,0)+VLOOKUP(A18,'2025数据'!B:E,6,0)+VLOOKUP(A18,'2025数据'!B:O,17,0)</f>
        <v>#REF!</v>
      </c>
      <c r="E18" s="17" t="e">
        <f t="shared" si="4"/>
        <v>#REF!</v>
      </c>
      <c r="F18" s="16">
        <v>1624.14</v>
      </c>
      <c r="G18" s="14" t="e">
        <f>VLOOKUP(A18,'2025数据'!B:O,18,0)+VLOOKUP(A18,'2025数据'!B:O,19,0)+VLOOKUP(A18,'2025数据'!B:O,17,0)</f>
        <v>#REF!</v>
      </c>
      <c r="H18" s="18" t="e">
        <f t="shared" si="5"/>
        <v>#REF!</v>
      </c>
      <c r="I18" s="16">
        <v>1417.64</v>
      </c>
      <c r="J18" s="16">
        <v>672</v>
      </c>
      <c r="L18" s="19">
        <f t="shared" ref="L18:L30" si="6">B18/$B$6</f>
        <v>0.0668138167236861</v>
      </c>
    </row>
    <row r="19" ht="19" customHeight="1" spans="1:12">
      <c r="A19" s="16" t="s">
        <v>49</v>
      </c>
      <c r="B19" s="16">
        <v>5635</v>
      </c>
      <c r="C19" s="16">
        <v>1820</v>
      </c>
      <c r="D19" s="16" t="e">
        <f>VLOOKUP(A19,'2025数据'!B:D,5,0)+VLOOKUP(A19,'2025数据'!B:E,6,0)+VLOOKUP(A19,'2025数据'!B:O,17,0)</f>
        <v>#REF!</v>
      </c>
      <c r="E19" s="17" t="e">
        <f t="shared" si="4"/>
        <v>#REF!</v>
      </c>
      <c r="F19" s="16">
        <v>2450</v>
      </c>
      <c r="G19" s="14" t="e">
        <f>VLOOKUP(A19,'2025数据'!B:O,18,0)+VLOOKUP(A19,'2025数据'!B:O,19,0)+VLOOKUP(A19,'2025数据'!B:O,17,0)</f>
        <v>#REF!</v>
      </c>
      <c r="H19" s="18" t="e">
        <f t="shared" si="5"/>
        <v>#REF!</v>
      </c>
      <c r="I19" s="16">
        <v>1050</v>
      </c>
      <c r="J19" s="16">
        <v>315</v>
      </c>
      <c r="L19" s="19">
        <f t="shared" si="6"/>
        <v>0.0653334658939888</v>
      </c>
    </row>
    <row r="20" ht="19" customHeight="1" spans="1:12">
      <c r="A20" s="16" t="s">
        <v>64</v>
      </c>
      <c r="B20" s="16">
        <v>4239.69</v>
      </c>
      <c r="C20" s="16">
        <v>791.28</v>
      </c>
      <c r="D20" s="16" t="e">
        <f>VLOOKUP(A20,'2025数据'!B:D,5,0)+VLOOKUP(A20,'2025数据'!B:E,6,0)+VLOOKUP(A20,'2025数据'!B:O,17,0)</f>
        <v>#REF!</v>
      </c>
      <c r="E20" s="17" t="e">
        <f t="shared" si="4"/>
        <v>#REF!</v>
      </c>
      <c r="F20" s="16">
        <v>1176.28</v>
      </c>
      <c r="G20" s="14" t="e">
        <f>VLOOKUP(A20,'2025数据'!B:O,18,0)+VLOOKUP(A20,'2025数据'!B:O,19,0)+VLOOKUP(A20,'2025数据'!B:O,17,0)</f>
        <v>#REF!</v>
      </c>
      <c r="H20" s="18" t="e">
        <f t="shared" si="5"/>
        <v>#REF!</v>
      </c>
      <c r="I20" s="16">
        <v>1561.28</v>
      </c>
      <c r="J20" s="16">
        <v>710.85</v>
      </c>
      <c r="L20" s="19">
        <f t="shared" si="6"/>
        <v>0.0491559258236176</v>
      </c>
    </row>
    <row r="21" ht="19" customHeight="1" spans="1:12">
      <c r="A21" s="16" t="s">
        <v>152</v>
      </c>
      <c r="B21" s="16">
        <v>2408</v>
      </c>
      <c r="C21" s="16">
        <v>0</v>
      </c>
      <c r="D21" s="16" t="e">
        <f>VLOOKUP(A21,'2025数据'!B:D,5,0)+VLOOKUP(A21,'2025数据'!B:E,6,0)+VLOOKUP(A21,'2025数据'!B:O,17,0)</f>
        <v>#N/A</v>
      </c>
      <c r="E21" s="17" t="e">
        <f t="shared" si="4"/>
        <v>#N/A</v>
      </c>
      <c r="F21" s="16">
        <v>1204</v>
      </c>
      <c r="G21" s="14" t="e">
        <f>VLOOKUP(A21,'2025数据'!B:O,18,0)+VLOOKUP(A21,'2025数据'!B:O,19,0)+VLOOKUP(A21,'2025数据'!B:O,17,0)</f>
        <v>#N/A</v>
      </c>
      <c r="H21" s="18" t="e">
        <f t="shared" si="5"/>
        <v>#N/A</v>
      </c>
      <c r="I21" s="16">
        <v>1204</v>
      </c>
      <c r="J21" s="16">
        <v>0</v>
      </c>
      <c r="L21" s="19">
        <f t="shared" si="6"/>
        <v>0.027918897226748</v>
      </c>
    </row>
    <row r="22" ht="19" customHeight="1" spans="1:12">
      <c r="A22" s="16" t="s">
        <v>50</v>
      </c>
      <c r="B22" s="16">
        <v>1540</v>
      </c>
      <c r="C22" s="16">
        <v>385</v>
      </c>
      <c r="D22" s="16" t="e">
        <f>VLOOKUP(A22,'2025数据'!B:D,5,0)+VLOOKUP(A22,'2025数据'!B:E,6,0)+VLOOKUP(A22,'2025数据'!B:O,17,0)</f>
        <v>#REF!</v>
      </c>
      <c r="E22" s="17" t="e">
        <f t="shared" si="4"/>
        <v>#REF!</v>
      </c>
      <c r="F22" s="16">
        <v>770</v>
      </c>
      <c r="G22" s="14" t="e">
        <f>VLOOKUP(A22,'2025数据'!B:O,18,0)+VLOOKUP(A22,'2025数据'!B:O,19,0)+VLOOKUP(A22,'2025数据'!B:O,17,0)</f>
        <v>#REF!</v>
      </c>
      <c r="H22" s="18" t="e">
        <f t="shared" si="5"/>
        <v>#REF!</v>
      </c>
      <c r="I22" s="16">
        <v>385</v>
      </c>
      <c r="J22" s="16">
        <v>0</v>
      </c>
      <c r="L22" s="19">
        <f t="shared" si="6"/>
        <v>0.0178551086915249</v>
      </c>
    </row>
    <row r="23" ht="19" customHeight="1" spans="1:12">
      <c r="A23" s="16" t="s">
        <v>39</v>
      </c>
      <c r="B23" s="16">
        <v>34974.1</v>
      </c>
      <c r="C23" s="16">
        <v>4483.5</v>
      </c>
      <c r="D23" s="16" t="e">
        <f>VLOOKUP(A23,'2025数据'!B:D,5,0)+VLOOKUP(A23,'2025数据'!B:E,6,0)+VLOOKUP(A23,'2025数据'!B:O,17,0)</f>
        <v>#REF!</v>
      </c>
      <c r="E23" s="17" t="e">
        <f t="shared" si="4"/>
        <v>#REF!</v>
      </c>
      <c r="F23" s="16">
        <v>5087.6</v>
      </c>
      <c r="G23" s="14" t="e">
        <f>VLOOKUP(A23,'2025数据'!B:O,18,0)+VLOOKUP(A23,'2025数据'!B:O,19,0)+VLOOKUP(A23,'2025数据'!B:O,17,0)</f>
        <v>#REF!</v>
      </c>
      <c r="H23" s="18" t="e">
        <f t="shared" si="5"/>
        <v>#REF!</v>
      </c>
      <c r="I23" s="16">
        <v>8687</v>
      </c>
      <c r="J23" s="16">
        <v>16716</v>
      </c>
      <c r="L23" s="19">
        <f t="shared" si="6"/>
        <v>0.405497634343026</v>
      </c>
    </row>
    <row r="24" ht="19" customHeight="1" spans="1:12">
      <c r="A24" s="16" t="s">
        <v>41</v>
      </c>
      <c r="B24" s="16">
        <v>4631.2</v>
      </c>
      <c r="C24" s="16">
        <v>1311.1</v>
      </c>
      <c r="D24" s="16" t="e">
        <f>VLOOKUP(A24,'2025数据'!B:D,5,0)+VLOOKUP(A24,'2025数据'!B:E,6,0)+VLOOKUP(A24,'2025数据'!B:O,17,0)</f>
        <v>#REF!</v>
      </c>
      <c r="E24" s="17" t="e">
        <f t="shared" si="4"/>
        <v>#REF!</v>
      </c>
      <c r="F24" s="16">
        <v>966</v>
      </c>
      <c r="G24" s="14" t="e">
        <f>VLOOKUP(A24,'2025数据'!B:O,18,0)+VLOOKUP(A24,'2025数据'!B:O,19,0)+VLOOKUP(A24,'2025数据'!B:O,17,0)</f>
        <v>#REF!</v>
      </c>
      <c r="H24" s="18" t="e">
        <f t="shared" si="5"/>
        <v>#REF!</v>
      </c>
      <c r="I24" s="16">
        <v>1493.1</v>
      </c>
      <c r="J24" s="16">
        <v>861</v>
      </c>
      <c r="L24" s="19">
        <f t="shared" si="6"/>
        <v>0.053695181410513</v>
      </c>
    </row>
    <row r="25" ht="19" customHeight="1" spans="1:12">
      <c r="A25" s="16" t="s">
        <v>47</v>
      </c>
      <c r="B25" s="16">
        <v>3185.875</v>
      </c>
      <c r="C25" s="16">
        <v>1218.875</v>
      </c>
      <c r="D25" s="16" t="e">
        <f>VLOOKUP(A25,'2025数据'!B:D,5,0)+VLOOKUP(A25,'2025数据'!B:E,6,0)+VLOOKUP(A25,'2025数据'!B:O,17,0)</f>
        <v>#REF!</v>
      </c>
      <c r="E25" s="17" t="e">
        <f t="shared" si="4"/>
        <v>#REF!</v>
      </c>
      <c r="F25" s="16">
        <v>861</v>
      </c>
      <c r="G25" s="14" t="e">
        <f>VLOOKUP(A25,'2025数据'!B:O,18,0)+VLOOKUP(A25,'2025数据'!B:O,19,0)+VLOOKUP(A25,'2025数据'!B:O,17,0)</f>
        <v>#REF!</v>
      </c>
      <c r="H25" s="18" t="e">
        <f t="shared" si="5"/>
        <v>#REF!</v>
      </c>
      <c r="I25" s="16">
        <v>1106</v>
      </c>
      <c r="J25" s="16">
        <v>0</v>
      </c>
      <c r="L25" s="19">
        <f t="shared" si="6"/>
        <v>0.0369377561055921</v>
      </c>
    </row>
    <row r="26" ht="19" customHeight="1" spans="1:12">
      <c r="A26" s="16" t="s">
        <v>52</v>
      </c>
      <c r="B26" s="16">
        <v>2128</v>
      </c>
      <c r="C26" s="16">
        <v>322</v>
      </c>
      <c r="D26" s="16" t="e">
        <f>VLOOKUP(A26,'2025数据'!B:D,5,0)+VLOOKUP(A26,'2025数据'!B:E,6,0)+VLOOKUP(A26,'2025数据'!B:O,17,0)</f>
        <v>#REF!</v>
      </c>
      <c r="E26" s="17" t="e">
        <f t="shared" si="4"/>
        <v>#REF!</v>
      </c>
      <c r="F26" s="16">
        <v>322</v>
      </c>
      <c r="G26" s="14" t="e">
        <f>VLOOKUP(A26,'2025数据'!B:O,18,0)+VLOOKUP(A26,'2025数据'!B:O,19,0)+VLOOKUP(A26,'2025数据'!B:O,17,0)</f>
        <v>#REF!</v>
      </c>
      <c r="H26" s="18" t="e">
        <f t="shared" si="5"/>
        <v>#REF!</v>
      </c>
      <c r="I26" s="16">
        <v>924</v>
      </c>
      <c r="J26" s="16">
        <v>560</v>
      </c>
      <c r="L26" s="19">
        <f t="shared" si="6"/>
        <v>0.0246725138282889</v>
      </c>
    </row>
    <row r="27" ht="19" customHeight="1" spans="1:12">
      <c r="A27" s="16" t="s">
        <v>45</v>
      </c>
      <c r="B27" s="16">
        <v>84.28</v>
      </c>
      <c r="C27" s="16">
        <v>84.28</v>
      </c>
      <c r="D27" s="16" t="e">
        <f>VLOOKUP(A27,'2025数据'!B:D,5,0)+VLOOKUP(A27,'2025数据'!B:E,6,0)+VLOOKUP(A27,'2025数据'!B:O,17,0)</f>
        <v>#REF!</v>
      </c>
      <c r="E27" s="17" t="e">
        <f t="shared" si="4"/>
        <v>#REF!</v>
      </c>
      <c r="F27" s="16">
        <v>0</v>
      </c>
      <c r="G27" s="14" t="e">
        <f>VLOOKUP(A27,'2025数据'!B:O,18,0)+VLOOKUP(A27,'2025数据'!B:O,19,0)+VLOOKUP(A27,'2025数据'!B:O,17,0)</f>
        <v>#REF!</v>
      </c>
      <c r="H27" s="18" t="e">
        <f t="shared" si="5"/>
        <v>#REF!</v>
      </c>
      <c r="I27" s="16">
        <v>0</v>
      </c>
      <c r="J27" s="16">
        <v>0</v>
      </c>
      <c r="L27" s="19">
        <f t="shared" si="6"/>
        <v>0.00097716140293618</v>
      </c>
    </row>
    <row r="28" ht="19" customHeight="1" spans="1:12">
      <c r="A28" s="16" t="s">
        <v>153</v>
      </c>
      <c r="B28" s="16">
        <v>9658.628</v>
      </c>
      <c r="C28" s="16">
        <v>305.312</v>
      </c>
      <c r="D28" s="16" t="e">
        <f>VLOOKUP(A28,'2025数据'!B:D,5,0)+VLOOKUP(A28,'2025数据'!B:E,6,0)+VLOOKUP(A28,'2025数据'!B:O,17,0)</f>
        <v>#REF!</v>
      </c>
      <c r="E28" s="17" t="e">
        <f t="shared" si="4"/>
        <v>#REF!</v>
      </c>
      <c r="F28" s="16">
        <v>1844.836</v>
      </c>
      <c r="G28" s="14" t="e">
        <f>VLOOKUP(A28,'2025数据'!B:O,18,0)+VLOOKUP(A28,'2025数据'!B:O,19,0)+VLOOKUP(A28,'2025数据'!B:O,17,0)</f>
        <v>#REF!</v>
      </c>
      <c r="H28" s="18" t="e">
        <f t="shared" si="5"/>
        <v>#REF!</v>
      </c>
      <c r="I28" s="16">
        <v>3561.74</v>
      </c>
      <c r="J28" s="16">
        <v>3946.74</v>
      </c>
      <c r="L28" s="19">
        <f t="shared" si="6"/>
        <v>0.111984319968185</v>
      </c>
    </row>
    <row r="29" ht="19" customHeight="1" spans="1:12">
      <c r="A29" s="16" t="s">
        <v>54</v>
      </c>
      <c r="B29" s="16">
        <v>7096.8</v>
      </c>
      <c r="C29" s="16">
        <v>860</v>
      </c>
      <c r="D29" s="16" t="e">
        <f>VLOOKUP(A29,'2025数据'!B:D,5,0)+VLOOKUP(A29,'2025数据'!B:E,6,0)+VLOOKUP(A29,'2025数据'!B:O,17,0)</f>
        <v>#REF!</v>
      </c>
      <c r="E29" s="17" t="e">
        <f t="shared" si="4"/>
        <v>#REF!</v>
      </c>
      <c r="F29" s="16">
        <v>1897</v>
      </c>
      <c r="G29" s="14" t="e">
        <f>VLOOKUP(A29,'2025数据'!B:O,18,0)+VLOOKUP(A29,'2025数据'!B:O,19,0)+VLOOKUP(A29,'2025数据'!B:O,17,0)</f>
        <v>#REF!</v>
      </c>
      <c r="H29" s="18" t="e">
        <f t="shared" si="5"/>
        <v>#REF!</v>
      </c>
      <c r="I29" s="16">
        <v>2611</v>
      </c>
      <c r="J29" s="16">
        <v>1728.8</v>
      </c>
      <c r="L29" s="19">
        <f t="shared" si="6"/>
        <v>0.0822819060792297</v>
      </c>
    </row>
    <row r="30" ht="19" customHeight="1" spans="1:12">
      <c r="A30" s="16" t="s">
        <v>56</v>
      </c>
      <c r="B30" s="16">
        <v>4905.572</v>
      </c>
      <c r="C30" s="16">
        <v>643.572</v>
      </c>
      <c r="D30" s="16" t="e">
        <f>VLOOKUP(A30,'2025数据'!B:D,5,0)+VLOOKUP(A30,'2025数据'!B:E,6,0)+VLOOKUP(A30,'2025数据'!B:O,17,0)</f>
        <v>#REF!</v>
      </c>
      <c r="E30" s="17" t="e">
        <f t="shared" si="4"/>
        <v>#REF!</v>
      </c>
      <c r="F30" s="16">
        <v>1065.5</v>
      </c>
      <c r="G30" s="14" t="e">
        <f>VLOOKUP(A30,'2025数据'!B:O,18,0)+VLOOKUP(A30,'2025数据'!B:O,19,0)+VLOOKUP(A30,'2025数据'!B:O,17,0)</f>
        <v>#REF!</v>
      </c>
      <c r="H30" s="18" t="e">
        <f t="shared" si="5"/>
        <v>#REF!</v>
      </c>
      <c r="I30" s="16">
        <v>1833.5</v>
      </c>
      <c r="J30" s="16">
        <v>1363</v>
      </c>
      <c r="L30" s="19">
        <f t="shared" si="6"/>
        <v>0.0568763125026631</v>
      </c>
    </row>
    <row r="31" ht="19" customHeight="1" spans="1:12">
      <c r="A31" s="14" t="s">
        <v>66</v>
      </c>
      <c r="B31" s="14">
        <v>40867.2792035398</v>
      </c>
      <c r="C31" s="14">
        <v>11876.2194690266</v>
      </c>
      <c r="D31" s="14" t="e">
        <f>VLOOKUP(A31,'2025数据'!B:D,5,0)+VLOOKUP(A31,'2025数据'!B:E,6,0)+VLOOKUP(A31,'2025数据'!B:O,17,0)</f>
        <v>#REF!</v>
      </c>
      <c r="E31" s="15" t="e">
        <f t="shared" si="4"/>
        <v>#REF!</v>
      </c>
      <c r="F31" s="14">
        <v>9860.17699115045</v>
      </c>
      <c r="G31" s="14" t="e">
        <f>VLOOKUP(A31,'2025数据'!B:O,18,0)+VLOOKUP(A31,'2025数据'!B:O,19,0)+VLOOKUP(A31,'2025数据'!B:O,17,0)</f>
        <v>#REF!</v>
      </c>
      <c r="H31" s="7" t="e">
        <f t="shared" si="5"/>
        <v>#REF!</v>
      </c>
      <c r="I31" s="14">
        <v>9548.67256637167</v>
      </c>
      <c r="J31" s="14">
        <v>9582.21017699114</v>
      </c>
    </row>
    <row r="32" ht="19" customHeight="1" spans="1:12">
      <c r="A32" s="14" t="s">
        <v>67</v>
      </c>
      <c r="B32" s="14">
        <v>13281.9336340445</v>
      </c>
      <c r="C32" s="14">
        <v>2809.34677565487</v>
      </c>
      <c r="D32" s="14" t="e">
        <f>VLOOKUP(A32,'2025数据'!B:D,5,0)+VLOOKUP(A32,'2025数据'!B:E,6,0)+VLOOKUP(A32,'2025数据'!B:O,17,0)</f>
        <v>#REF!</v>
      </c>
      <c r="E32" s="15" t="e">
        <f t="shared" si="4"/>
        <v>#REF!</v>
      </c>
      <c r="F32" s="14">
        <v>3717.1159734455</v>
      </c>
      <c r="G32" s="14" t="e">
        <f>VLOOKUP(A32,'2025数据'!B:O,18,0)+VLOOKUP(A32,'2025数据'!B:O,19,0)+VLOOKUP(A32,'2025数据'!B:O,17,0)</f>
        <v>#REF!</v>
      </c>
      <c r="H32" s="7" t="e">
        <f t="shared" si="5"/>
        <v>#REF!</v>
      </c>
      <c r="I32" s="14">
        <v>3717.1159734455</v>
      </c>
      <c r="J32" s="14">
        <v>3038.35491149861</v>
      </c>
    </row>
    <row r="33" ht="19" customHeight="1" spans="1:20">
      <c r="A33" s="14" t="s">
        <v>68</v>
      </c>
      <c r="B33" s="14">
        <v>2550.832</v>
      </c>
      <c r="C33" s="14">
        <v>2192.187</v>
      </c>
      <c r="D33" s="14" t="e">
        <f>VLOOKUP(A33,'2025数据'!B:D,5,0)+VLOOKUP(A33,'2025数据'!B:E,6,0)+VLOOKUP(A33,'2025数据'!B:O,17,0)</f>
        <v>#REF!</v>
      </c>
      <c r="E33" s="15" t="e">
        <f t="shared" si="4"/>
        <v>#REF!</v>
      </c>
      <c r="F33" s="14">
        <v>358.645</v>
      </c>
      <c r="G33" s="14" t="e">
        <f>VLOOKUP(A33,'2025数据'!B:O,18,0)+VLOOKUP(A33,'2025数据'!B:O,19,0)+VLOOKUP(A33,'2025数据'!B:O,17,0)</f>
        <v>#REF!</v>
      </c>
      <c r="H33" s="7" t="e">
        <f t="shared" si="5"/>
        <v>#REF!</v>
      </c>
      <c r="I33" s="14">
        <v>0</v>
      </c>
      <c r="J33" s="14">
        <v>0</v>
      </c>
    </row>
    <row r="34" ht="19" customHeight="1" spans="1:20">
      <c r="A34" s="14" t="s">
        <v>69</v>
      </c>
      <c r="B34" s="14">
        <v>5000.04955752213</v>
      </c>
      <c r="C34" s="14">
        <v>0</v>
      </c>
      <c r="D34" s="14">
        <v>0</v>
      </c>
      <c r="E34" s="15">
        <f t="shared" si="4"/>
        <v>0</v>
      </c>
      <c r="F34" s="14">
        <v>1049.60707964602</v>
      </c>
      <c r="G34" s="14" t="e">
        <f>VLOOKUP(A34,'2025数据'!B:O,18,0)+VLOOKUP(A34,'2025数据'!B:O,19,0)+VLOOKUP(A34,'2025数据'!B:O,17,0)</f>
        <v>#REF!</v>
      </c>
      <c r="H34" s="7" t="e">
        <f t="shared" si="5"/>
        <v>#REF!</v>
      </c>
      <c r="I34" s="14">
        <v>1911.50442477876</v>
      </c>
      <c r="J34" s="14">
        <v>2038.93805309734</v>
      </c>
    </row>
    <row r="35" ht="19" customHeight="1" spans="1:20">
      <c r="A35" s="14" t="s">
        <v>71</v>
      </c>
      <c r="B35" s="14">
        <v>11317.1617699115</v>
      </c>
      <c r="C35" s="14">
        <v>7057.48920353982</v>
      </c>
      <c r="D35" s="14" t="e">
        <f>VLOOKUP(A35,'2025数据'!B:D,5,0)+VLOOKUP(A35,'2025数据'!B:E,6,0)+VLOOKUP(A35,'2025数据'!B:O,17,0)</f>
        <v>#REF!</v>
      </c>
      <c r="E35" s="15" t="e">
        <f t="shared" si="4"/>
        <v>#REF!</v>
      </c>
      <c r="F35" s="14">
        <v>3187.17256637168</v>
      </c>
      <c r="G35" s="14" t="e">
        <f>VLOOKUP(A35,'2025数据'!B:O,18,0)+VLOOKUP(A35,'2025数据'!B:O,19,0)+VLOOKUP(A35,'2025数据'!B:O,17,0)</f>
        <v>#REF!</v>
      </c>
      <c r="H35" s="7" t="e">
        <f t="shared" si="5"/>
        <v>#REF!</v>
      </c>
      <c r="I35" s="14">
        <v>1072.5</v>
      </c>
      <c r="J35" s="14">
        <v>0</v>
      </c>
    </row>
    <row r="36" ht="19" customHeight="1" spans="1:20">
      <c r="A36" s="14" t="s">
        <v>70</v>
      </c>
      <c r="B36" s="14">
        <v>4132.65299185841</v>
      </c>
      <c r="C36" s="14">
        <v>2266.16847858407</v>
      </c>
      <c r="D36" s="14" t="e">
        <f>VLOOKUP(A36,'2025数据'!B:D,5,0)+VLOOKUP(A36,'2025数据'!B:E,6,0)+VLOOKUP(A36,'2025数据'!B:O,17,0)</f>
        <v>#REF!</v>
      </c>
      <c r="E36" s="15" t="e">
        <f t="shared" si="4"/>
        <v>#REF!</v>
      </c>
      <c r="F36" s="14">
        <v>1447.39088495575</v>
      </c>
      <c r="G36" s="14" t="e">
        <f>VLOOKUP(A36,'2025数据'!B:O,18,0)+VLOOKUP(A36,'2025数据'!B:O,19,0)+VLOOKUP(A36,'2025数据'!B:O,17,0)</f>
        <v>#REF!</v>
      </c>
      <c r="H36" s="7" t="e">
        <f t="shared" si="5"/>
        <v>#REF!</v>
      </c>
      <c r="I36" s="14">
        <v>230.973451327433</v>
      </c>
      <c r="J36" s="14">
        <v>188.12017699115</v>
      </c>
    </row>
    <row r="37" ht="19" customHeight="1" spans="1:20">
      <c r="A37" s="14" t="s">
        <v>72</v>
      </c>
      <c r="B37" s="14">
        <v>1046.49380530973</v>
      </c>
      <c r="C37" s="14">
        <v>1046.49380530973</v>
      </c>
      <c r="D37" s="14" t="e">
        <f>VLOOKUP(A37,'2025数据'!B:D,5,0)+VLOOKUP(A37,'2025数据'!B:E,6,0)+VLOOKUP(A37,'2025数据'!B:O,17,0)</f>
        <v>#REF!</v>
      </c>
      <c r="E37" s="15" t="e">
        <f t="shared" si="4"/>
        <v>#REF!</v>
      </c>
      <c r="F37" s="14">
        <v>0</v>
      </c>
      <c r="G37" s="14" t="e">
        <f>VLOOKUP(A37,'2025数据'!B:O,18,0)+VLOOKUP(A37,'2025数据'!B:O,19,0)+VLOOKUP(A37,'2025数据'!B:O,17,0)</f>
        <v>#REF!</v>
      </c>
      <c r="H37" s="7" t="e">
        <f t="shared" si="5"/>
        <v>#REF!</v>
      </c>
      <c r="I37" s="14">
        <v>0</v>
      </c>
      <c r="J37" s="14">
        <v>0</v>
      </c>
    </row>
    <row r="38" ht="19" customHeight="1" spans="1:20">
      <c r="A38" s="14" t="s">
        <v>78</v>
      </c>
      <c r="B38" s="14">
        <v>0</v>
      </c>
      <c r="C38" s="14">
        <v>0</v>
      </c>
      <c r="D38" s="14" t="e">
        <f>VLOOKUP(A38,'2025数据'!B:D,5,0)+VLOOKUP(A38,'2025数据'!B:E,6,0)+VLOOKUP(A38,'2025数据'!B:O,17,0)</f>
        <v>#REF!</v>
      </c>
      <c r="E38" s="15" t="e">
        <f t="shared" si="4"/>
        <v>#REF!</v>
      </c>
      <c r="F38" s="14">
        <v>0</v>
      </c>
      <c r="G38" s="14" t="e">
        <f>VLOOKUP(A38,'2025数据'!B:O,18,0)+VLOOKUP(A38,'2025数据'!B:O,19,0)+VLOOKUP(A38,'2025数据'!B:O,17,0)</f>
        <v>#REF!</v>
      </c>
      <c r="H38" s="7" t="e">
        <f t="shared" si="5"/>
        <v>#REF!</v>
      </c>
      <c r="I38" s="14">
        <v>0</v>
      </c>
      <c r="J38" s="14">
        <v>0</v>
      </c>
      <c r="M38" s="20"/>
      <c r="N38" s="21"/>
      <c r="O38" s="21"/>
      <c r="P38" s="21"/>
      <c r="Q38" s="21"/>
      <c r="R38" s="21"/>
      <c r="S38" s="21"/>
      <c r="T38" s="21"/>
    </row>
    <row r="39" ht="19" customHeight="1" spans="1:20">
      <c r="A39" s="14" t="s">
        <v>154</v>
      </c>
      <c r="B39" s="14">
        <v>3992.45</v>
      </c>
      <c r="C39" s="14">
        <v>0</v>
      </c>
      <c r="D39" s="14">
        <v>0</v>
      </c>
      <c r="E39" s="15">
        <f t="shared" si="4"/>
        <v>0</v>
      </c>
      <c r="F39" s="14">
        <v>0</v>
      </c>
      <c r="G39" s="14">
        <v>0</v>
      </c>
      <c r="H39" s="7">
        <f t="shared" si="5"/>
        <v>0</v>
      </c>
      <c r="I39" s="14">
        <v>1732.5</v>
      </c>
      <c r="J39" s="14">
        <v>2259.95</v>
      </c>
    </row>
    <row r="40" ht="19" customHeight="1" spans="1:20">
      <c r="A40" s="14" t="s">
        <v>155</v>
      </c>
      <c r="B40" s="14">
        <v>1050</v>
      </c>
      <c r="C40" s="14">
        <v>0</v>
      </c>
      <c r="D40" s="14">
        <v>0</v>
      </c>
      <c r="E40" s="15">
        <f t="shared" si="4"/>
        <v>0</v>
      </c>
      <c r="F40" s="14">
        <v>0</v>
      </c>
      <c r="G40" s="14">
        <v>0</v>
      </c>
      <c r="H40" s="7">
        <f t="shared" si="5"/>
        <v>0</v>
      </c>
      <c r="I40" s="14">
        <v>0</v>
      </c>
      <c r="J40" s="14">
        <v>1050</v>
      </c>
    </row>
    <row r="41" ht="19" customHeight="1" spans="1:20">
      <c r="A41" s="14" t="s">
        <v>79</v>
      </c>
      <c r="B41" s="14">
        <v>8664.74203539821</v>
      </c>
      <c r="C41" s="14">
        <v>11.3264601769911</v>
      </c>
      <c r="D41" s="14" t="e">
        <f>VLOOKUP(A41,'2025数据'!B:D,5,0)+VLOOKUP(A41,'2025数据'!B:E,6,0)+VLOOKUP(A41,'2025数据'!B:O,17,0)</f>
        <v>#REF!</v>
      </c>
      <c r="E41" s="15" t="e">
        <f t="shared" si="4"/>
        <v>#REF!</v>
      </c>
      <c r="F41" s="14">
        <v>2265.29203539822</v>
      </c>
      <c r="G41" s="14" t="e">
        <f>VLOOKUP(A41,'2025数据'!B:O,18,0)+VLOOKUP(A41,'2025数据'!B:O,19,0)+VLOOKUP(A41,'2025数据'!B:O,17,0)</f>
        <v>#REF!</v>
      </c>
      <c r="H41" s="7" t="e">
        <f t="shared" si="5"/>
        <v>#REF!</v>
      </c>
      <c r="I41" s="14">
        <v>3397.93805309733</v>
      </c>
      <c r="J41" s="14">
        <v>2990.18548672565</v>
      </c>
    </row>
    <row r="42" ht="19" customHeight="1" spans="1:20">
      <c r="A42" s="14" t="s">
        <v>74</v>
      </c>
      <c r="B42" s="14">
        <v>160.094867256637</v>
      </c>
      <c r="C42" s="14">
        <v>160.094867256637</v>
      </c>
      <c r="D42" s="14" t="e">
        <f>VLOOKUP(A42,'2025数据'!B:D,5,0)+VLOOKUP(A42,'2025数据'!B:E,6,0)+VLOOKUP(A42,'2025数据'!B:O,17,0)</f>
        <v>#REF!</v>
      </c>
      <c r="E42" s="15" t="e">
        <f t="shared" si="4"/>
        <v>#REF!</v>
      </c>
      <c r="F42" s="14">
        <v>0</v>
      </c>
      <c r="G42" s="14" t="e">
        <f>VLOOKUP(A42,'2025数据'!B:O,18,0)+VLOOKUP(A42,'2025数据'!B:O,19,0)+VLOOKUP(A42,'2025数据'!B:O,17,0)</f>
        <v>#REF!</v>
      </c>
      <c r="H42" s="7" t="e">
        <f t="shared" si="5"/>
        <v>#REF!</v>
      </c>
      <c r="I42" s="14">
        <v>0</v>
      </c>
      <c r="J42" s="14">
        <v>0</v>
      </c>
    </row>
    <row r="43" ht="19" customHeight="1" spans="1:20">
      <c r="A43" s="14" t="s">
        <v>73</v>
      </c>
      <c r="B43" s="14">
        <v>130.088495575221</v>
      </c>
      <c r="C43" s="14">
        <v>130.088495575221</v>
      </c>
      <c r="D43" s="14" t="e">
        <f>VLOOKUP(A43,'2025数据'!B:D,5,0)+VLOOKUP(A43,'2025数据'!B:E,6,0)+VLOOKUP(A43,'2025数据'!B:O,17,0)</f>
        <v>#REF!</v>
      </c>
      <c r="E43" s="15" t="e">
        <f t="shared" si="4"/>
        <v>#REF!</v>
      </c>
      <c r="F43" s="14">
        <v>0</v>
      </c>
      <c r="G43" s="14" t="e">
        <f>VLOOKUP(A43,'2025数据'!B:O,18,0)+VLOOKUP(A43,'2025数据'!B:O,19,0)+VLOOKUP(A43,'2025数据'!B:O,17,0)</f>
        <v>#REF!</v>
      </c>
      <c r="H43" s="7" t="e">
        <f t="shared" si="5"/>
        <v>#REF!</v>
      </c>
      <c r="I43" s="14">
        <v>0</v>
      </c>
      <c r="J43" s="14">
        <v>0</v>
      </c>
    </row>
    <row r="44" ht="19" customHeight="1" spans="1:20">
      <c r="A44" s="14" t="s">
        <v>77</v>
      </c>
      <c r="B44" s="14">
        <v>0</v>
      </c>
      <c r="C44" s="14">
        <v>0</v>
      </c>
      <c r="D44" s="14" t="e">
        <f>VLOOKUP(A44,'2025数据'!B:D,5,0)+VLOOKUP(A44,'2025数据'!B:E,6,0)+VLOOKUP(A44,'2025数据'!B:O,17,0)</f>
        <v>#REF!</v>
      </c>
      <c r="E44" s="15" t="e">
        <f t="shared" si="4"/>
        <v>#REF!</v>
      </c>
      <c r="F44" s="14">
        <v>0</v>
      </c>
      <c r="G44" s="14" t="e">
        <f>VLOOKUP(A44,'2025数据'!B:O,18,0)+VLOOKUP(A44,'2025数据'!B:O,19,0)+VLOOKUP(A44,'2025数据'!B:O,17,0)</f>
        <v>#REF!</v>
      </c>
      <c r="H44" s="7" t="e">
        <f t="shared" si="5"/>
        <v>#REF!</v>
      </c>
      <c r="I44" s="14">
        <v>0</v>
      </c>
      <c r="J44" s="14">
        <v>0</v>
      </c>
    </row>
    <row r="45" ht="19" customHeight="1" spans="1:20">
      <c r="A45" s="14" t="s">
        <v>76</v>
      </c>
      <c r="B45" s="14">
        <v>0</v>
      </c>
      <c r="C45" s="14">
        <v>0</v>
      </c>
      <c r="D45" s="14" t="e">
        <f>VLOOKUP(A45,'2025数据'!B:D,5,0)+VLOOKUP(A45,'2025数据'!B:E,6,0)+VLOOKUP(A45,'2025数据'!B:O,17,0)</f>
        <v>#REF!</v>
      </c>
      <c r="E45" s="15" t="e">
        <f t="shared" si="4"/>
        <v>#REF!</v>
      </c>
      <c r="F45" s="14">
        <v>0</v>
      </c>
      <c r="G45" s="14" t="e">
        <f>VLOOKUP(A45,'2025数据'!B:O,18,0)+VLOOKUP(A45,'2025数据'!B:O,19,0)+VLOOKUP(A45,'2025数据'!B:O,17,0)</f>
        <v>#REF!</v>
      </c>
      <c r="H45" s="7" t="e">
        <f t="shared" si="5"/>
        <v>#REF!</v>
      </c>
      <c r="I45" s="14">
        <v>0</v>
      </c>
      <c r="J45" s="14">
        <v>0</v>
      </c>
    </row>
    <row r="46" ht="19" customHeight="1" spans="1:20">
      <c r="A46" s="14"/>
      <c r="B46" s="14"/>
      <c r="C46" s="14"/>
      <c r="D46" s="14"/>
      <c r="E46" s="15"/>
      <c r="F46" s="14"/>
      <c r="G46" s="14"/>
      <c r="H46" s="7"/>
      <c r="I46" s="14"/>
      <c r="J46" s="14"/>
    </row>
    <row r="47" ht="19" customHeight="1" spans="1:20">
      <c r="A47" s="2" t="s">
        <v>156</v>
      </c>
      <c r="B47" s="2" t="s">
        <v>138</v>
      </c>
      <c r="C47" s="2" t="s">
        <v>0</v>
      </c>
      <c r="D47" s="2" t="s">
        <v>0</v>
      </c>
      <c r="E47" s="4" t="s">
        <v>109</v>
      </c>
      <c r="F47" s="2" t="s">
        <v>6</v>
      </c>
      <c r="G47" s="2" t="s">
        <v>6</v>
      </c>
      <c r="H47" s="5" t="s">
        <v>109</v>
      </c>
      <c r="I47" s="2" t="s">
        <v>11</v>
      </c>
      <c r="J47" s="2" t="s">
        <v>140</v>
      </c>
      <c r="K47" s="2" t="s">
        <v>0</v>
      </c>
      <c r="L47" s="2" t="s">
        <v>6</v>
      </c>
      <c r="M47" s="2" t="s">
        <v>11</v>
      </c>
      <c r="N47" s="2" t="s">
        <v>140</v>
      </c>
    </row>
    <row r="48" ht="19" customHeight="1" spans="1:20">
      <c r="A48" s="2"/>
      <c r="B48" s="2" t="s">
        <v>143</v>
      </c>
      <c r="C48" s="2" t="s">
        <v>143</v>
      </c>
      <c r="D48" s="2" t="s">
        <v>158</v>
      </c>
      <c r="E48" s="4"/>
      <c r="F48" s="2" t="s">
        <v>143</v>
      </c>
      <c r="G48" s="2" t="s">
        <v>145</v>
      </c>
      <c r="H48" s="5"/>
      <c r="I48" s="2" t="s">
        <v>143</v>
      </c>
      <c r="J48" s="2" t="s">
        <v>143</v>
      </c>
      <c r="K48" s="2" t="s">
        <v>148</v>
      </c>
      <c r="L48" s="2" t="s">
        <v>148</v>
      </c>
      <c r="M48" s="2" t="s">
        <v>148</v>
      </c>
      <c r="N48" s="2" t="s">
        <v>148</v>
      </c>
    </row>
    <row r="49" ht="19" customHeight="1" spans="1:14">
      <c r="A49" s="14" t="s">
        <v>99</v>
      </c>
      <c r="B49" s="14">
        <v>85001.49</v>
      </c>
      <c r="C49" s="14">
        <v>20740.58</v>
      </c>
      <c r="D49" s="14" t="e">
        <f>VLOOKUP(A49,'2025数据'!B:D,5,0)+VLOOKUP(A49,'2025数据'!B:E,6,0)+VLOOKUP(A49,'2025数据'!B:O,17,0)</f>
        <v>#REF!</v>
      </c>
      <c r="E49" s="15" t="e">
        <f t="shared" ref="E49:E55" si="7">D49-C49</f>
        <v>#REF!</v>
      </c>
      <c r="F49" s="14">
        <v>22401.82</v>
      </c>
      <c r="G49" s="14" t="e">
        <f>VLOOKUP(A49,'2025数据'!B:O,18,0)+VLOOKUP(A49,'2025数据'!B:O,19,0)+VLOOKUP(A49,'2025数据'!B:O,20,0)</f>
        <v>#REF!</v>
      </c>
      <c r="H49" s="7" t="e">
        <f t="shared" ref="H49:H55" si="8">G49-F49</f>
        <v>#REF!</v>
      </c>
      <c r="I49" s="14">
        <v>25311.72</v>
      </c>
      <c r="J49" s="14">
        <v>16547.37</v>
      </c>
      <c r="K49" s="8">
        <f t="shared" ref="K49:K56" si="9">C49/B49</f>
        <v>0.244002546308306</v>
      </c>
      <c r="L49" s="8">
        <f t="shared" ref="L49:L56" si="10">F49/B49</f>
        <v>0.263546203719488</v>
      </c>
      <c r="M49" s="8">
        <f t="shared" ref="M49:M56" si="11">I49/B49</f>
        <v>0.297779721273121</v>
      </c>
      <c r="N49" s="8">
        <f t="shared" ref="N49:N56" si="12">J49/B49</f>
        <v>0.194671528699085</v>
      </c>
    </row>
    <row r="50" ht="17" customHeight="1" spans="1:14">
      <c r="A50" s="14" t="s">
        <v>100</v>
      </c>
      <c r="B50" s="14">
        <v>45003.455</v>
      </c>
      <c r="C50" s="14">
        <v>7419.755</v>
      </c>
      <c r="D50" s="14" t="e">
        <f>VLOOKUP(A50,'2025数据'!B:D,5,0)+VLOOKUP(A50,'2025数据'!B:E,6,0)+VLOOKUP(A50,'2025数据'!B:O,17,0)</f>
        <v>#REF!</v>
      </c>
      <c r="E50" s="15" t="e">
        <f t="shared" si="7"/>
        <v>#REF!</v>
      </c>
      <c r="F50" s="14">
        <v>7236.6</v>
      </c>
      <c r="G50" s="14" t="e">
        <f>VLOOKUP(A50,'2025数据'!B:O,18,0)+VLOOKUP(A50,'2025数据'!B:O,19,0)+VLOOKUP(A50,'2025数据'!B:O,20,0)</f>
        <v>#REF!</v>
      </c>
      <c r="H50" s="7" t="e">
        <f t="shared" si="8"/>
        <v>#REF!</v>
      </c>
      <c r="I50" s="14">
        <v>12210.1</v>
      </c>
      <c r="J50" s="14">
        <v>18137</v>
      </c>
      <c r="K50" s="8">
        <f t="shared" si="9"/>
        <v>0.164870786031872</v>
      </c>
      <c r="L50" s="8">
        <f t="shared" si="10"/>
        <v>0.160800987390857</v>
      </c>
      <c r="M50" s="8">
        <f t="shared" si="11"/>
        <v>0.271314724613921</v>
      </c>
      <c r="N50" s="8">
        <f t="shared" si="12"/>
        <v>0.403013501963349</v>
      </c>
    </row>
    <row r="51" ht="19" customHeight="1" spans="1:14">
      <c r="A51" s="14" t="s">
        <v>101</v>
      </c>
      <c r="B51" s="14">
        <v>12002.372</v>
      </c>
      <c r="C51" s="14">
        <v>1503.572</v>
      </c>
      <c r="D51" s="14" t="e">
        <f>VLOOKUP(A51,'2025数据'!B:D,5,0)+VLOOKUP(A51,'2025数据'!B:E,6,0)+VLOOKUP(A51,'2025数据'!B:O,17,0)</f>
        <v>#REF!</v>
      </c>
      <c r="E51" s="15" t="e">
        <f t="shared" si="7"/>
        <v>#REF!</v>
      </c>
      <c r="F51" s="14">
        <v>2962.5</v>
      </c>
      <c r="G51" s="14" t="e">
        <f>VLOOKUP(A51,'2025数据'!B:O,18,0)+VLOOKUP(A51,'2025数据'!B:O,19,0)+VLOOKUP(A51,'2025数据'!B:O,20,0)</f>
        <v>#REF!</v>
      </c>
      <c r="H51" s="7" t="e">
        <f t="shared" si="8"/>
        <v>#REF!</v>
      </c>
      <c r="I51" s="14">
        <v>4444.5</v>
      </c>
      <c r="J51" s="14">
        <v>3091.8</v>
      </c>
      <c r="K51" s="8">
        <f t="shared" si="9"/>
        <v>0.125272904389232</v>
      </c>
      <c r="L51" s="8">
        <f t="shared" si="10"/>
        <v>0.246826210685688</v>
      </c>
      <c r="M51" s="8">
        <f t="shared" si="11"/>
        <v>0.370301803676807</v>
      </c>
      <c r="N51" s="8">
        <f t="shared" si="12"/>
        <v>0.257599081248273</v>
      </c>
    </row>
    <row r="52" ht="19" customHeight="1" spans="1:14">
      <c r="A52" s="14" t="s">
        <v>102</v>
      </c>
      <c r="B52" s="14">
        <v>14701.078</v>
      </c>
      <c r="C52" s="14">
        <v>305.312</v>
      </c>
      <c r="D52" s="14" t="e">
        <f>VLOOKUP(A52,'2025数据'!B:D,5,0)+VLOOKUP(A52,'2025数据'!B:E,6,0)+VLOOKUP(A52,'2025数据'!B:O,17,0)</f>
        <v>#REF!</v>
      </c>
      <c r="E52" s="15" t="e">
        <f t="shared" si="7"/>
        <v>#REF!</v>
      </c>
      <c r="F52" s="14">
        <v>1844.836</v>
      </c>
      <c r="G52" s="14" t="e">
        <f>VLOOKUP(A52,'2025数据'!B:O,18,0)+VLOOKUP(A52,'2025数据'!B:O,19,0)+VLOOKUP(A52,'2025数据'!B:O,20,0)</f>
        <v>#REF!</v>
      </c>
      <c r="H52" s="7" t="e">
        <f t="shared" si="8"/>
        <v>#REF!</v>
      </c>
      <c r="I52" s="14">
        <v>5294.24</v>
      </c>
      <c r="J52" s="14">
        <v>7256.69</v>
      </c>
      <c r="K52" s="8">
        <f t="shared" si="9"/>
        <v>0.0207680008227968</v>
      </c>
      <c r="L52" s="8">
        <f t="shared" si="10"/>
        <v>0.125489845030412</v>
      </c>
      <c r="M52" s="8">
        <f t="shared" si="11"/>
        <v>0.360125971714455</v>
      </c>
      <c r="N52" s="8">
        <f t="shared" si="12"/>
        <v>0.493616182432336</v>
      </c>
    </row>
    <row r="53" ht="19" customHeight="1" spans="1:14">
      <c r="A53" s="14" t="s">
        <v>159</v>
      </c>
      <c r="B53" s="14">
        <v>151000.10532431</v>
      </c>
      <c r="C53" s="14">
        <v>30731.1355455663</v>
      </c>
      <c r="D53" s="14" t="e">
        <f>VLOOKUP(A53,'2025数据'!B:D,5,0)+VLOOKUP(A53,'2025数据'!B:E,6,0)+VLOOKUP(A53,'2025数据'!B:O,17,0)</f>
        <v>#N/A</v>
      </c>
      <c r="E53" s="15" t="e">
        <f t="shared" si="7"/>
        <v>#N/A</v>
      </c>
      <c r="F53" s="14">
        <v>32425.1154867199</v>
      </c>
      <c r="G53" s="14" t="e">
        <f>VLOOKUP(A53,'2025数据'!B:O,18,0)+VLOOKUP(A53,'2025数据'!B:O,19,0)+VLOOKUP(A53,'2025数据'!B:O,20,0)</f>
        <v>#N/A</v>
      </c>
      <c r="H53" s="7" t="e">
        <f t="shared" si="8"/>
        <v>#N/A</v>
      </c>
      <c r="I53" s="14">
        <v>47246.7743805252</v>
      </c>
      <c r="J53" s="14">
        <v>40597.0799114986</v>
      </c>
      <c r="K53" s="8">
        <f t="shared" si="9"/>
        <v>0.203517311988383</v>
      </c>
      <c r="L53" s="8">
        <f t="shared" si="10"/>
        <v>0.214735714369728</v>
      </c>
      <c r="M53" s="8">
        <f t="shared" si="11"/>
        <v>0.312892327320243</v>
      </c>
      <c r="N53" s="8">
        <f t="shared" si="12"/>
        <v>0.268854646321646</v>
      </c>
    </row>
    <row r="54" ht="19" customHeight="1" spans="1:14">
      <c r="A54" s="14" t="s">
        <v>104</v>
      </c>
      <c r="B54" s="14">
        <v>49999.9817529203</v>
      </c>
      <c r="C54" s="14">
        <v>14142.3879476106</v>
      </c>
      <c r="D54" s="14" t="e">
        <f>VLOOKUP(A54,'2025数据'!B:D,5,0)+VLOOKUP(A54,'2025数据'!B:E,6,0)+VLOOKUP(A54,'2025数据'!B:O,17,0)</f>
        <v>#REF!</v>
      </c>
      <c r="E54" s="15" t="e">
        <f t="shared" si="7"/>
        <v>#REF!</v>
      </c>
      <c r="F54" s="14">
        <v>12357.1749557522</v>
      </c>
      <c r="G54" s="14" t="e">
        <f>VLOOKUP(A54,'2025数据'!B:O,18,0)+VLOOKUP(A54,'2025数据'!B:O,19,0)+VLOOKUP(A54,'2025数据'!B:O,20,0)</f>
        <v>#REF!</v>
      </c>
      <c r="H54" s="7" t="e">
        <f t="shared" si="8"/>
        <v>#REF!</v>
      </c>
      <c r="I54" s="14">
        <v>11691.1504424779</v>
      </c>
      <c r="J54" s="14">
        <v>11809.2684070796</v>
      </c>
      <c r="K54" s="8">
        <f t="shared" si="9"/>
        <v>0.282847862175162</v>
      </c>
      <c r="L54" s="8">
        <f t="shared" si="10"/>
        <v>0.247143589308019</v>
      </c>
      <c r="M54" s="8">
        <f t="shared" si="11"/>
        <v>0.233823094181331</v>
      </c>
      <c r="N54" s="8">
        <f t="shared" si="12"/>
        <v>0.236185454335488</v>
      </c>
    </row>
    <row r="55" ht="19" customHeight="1" spans="1:14">
      <c r="A55" s="14" t="s">
        <v>105</v>
      </c>
      <c r="B55" s="14">
        <v>10001.4192035398</v>
      </c>
      <c r="C55" s="14">
        <v>1348.00362831858</v>
      </c>
      <c r="D55" s="14" t="e">
        <f>VLOOKUP(A55,'2025数据'!B:D,5,0)+VLOOKUP(A55,'2025数据'!B:E,6,0)+VLOOKUP(A55,'2025数据'!B:O,17,0)</f>
        <v>#REF!</v>
      </c>
      <c r="E55" s="15" t="e">
        <f t="shared" si="7"/>
        <v>#REF!</v>
      </c>
      <c r="F55" s="14">
        <v>2265.29203539822</v>
      </c>
      <c r="G55" s="14" t="e">
        <f>VLOOKUP(A55,'2025数据'!B:O,18,0)+VLOOKUP(A55,'2025数据'!B:O,19,0)+VLOOKUP(A55,'2025数据'!B:O,20,0)</f>
        <v>#REF!</v>
      </c>
      <c r="H55" s="7" t="e">
        <f t="shared" si="8"/>
        <v>#REF!</v>
      </c>
      <c r="I55" s="14">
        <v>3397.93805309733</v>
      </c>
      <c r="J55" s="14">
        <v>2990.18548672565</v>
      </c>
      <c r="K55" s="8">
        <f t="shared" si="9"/>
        <v>0.134781234631329</v>
      </c>
      <c r="L55" s="8">
        <f t="shared" si="10"/>
        <v>0.226497058997034</v>
      </c>
      <c r="M55" s="8">
        <f t="shared" si="11"/>
        <v>0.339745588495551</v>
      </c>
      <c r="N55" s="8">
        <f t="shared" si="12"/>
        <v>0.298976117876085</v>
      </c>
    </row>
    <row r="56" ht="19" customHeight="1" spans="1:14">
      <c r="A56" s="22" t="s">
        <v>107</v>
      </c>
      <c r="B56" s="13">
        <f t="shared" ref="B56:J56" si="13">SUM(B49:B55)</f>
        <v>367709.90128077</v>
      </c>
      <c r="C56" s="13">
        <f t="shared" si="13"/>
        <v>76190.7461214955</v>
      </c>
      <c r="D56" s="13" t="e">
        <f t="shared" si="13"/>
        <v>#REF!</v>
      </c>
      <c r="E56" s="13" t="e">
        <f t="shared" si="13"/>
        <v>#REF!</v>
      </c>
      <c r="F56" s="13">
        <f t="shared" si="13"/>
        <v>81493.3384778703</v>
      </c>
      <c r="G56" s="13" t="e">
        <f t="shared" si="13"/>
        <v>#REF!</v>
      </c>
      <c r="H56" s="10" t="e">
        <f t="shared" si="13"/>
        <v>#REF!</v>
      </c>
      <c r="I56" s="10">
        <f t="shared" si="13"/>
        <v>109596.4228761</v>
      </c>
      <c r="J56" s="10">
        <f t="shared" si="13"/>
        <v>100429.393805304</v>
      </c>
      <c r="K56" s="11">
        <f t="shared" si="9"/>
        <v>0.207203411863851</v>
      </c>
      <c r="L56" s="11">
        <f t="shared" si="10"/>
        <v>0.221623998140983</v>
      </c>
      <c r="M56" s="11">
        <f t="shared" si="11"/>
        <v>0.298051323867987</v>
      </c>
      <c r="N56" s="11">
        <f t="shared" si="12"/>
        <v>0.273121266127179</v>
      </c>
    </row>
    <row r="57" ht="19" customHeight="1" spans="1:14">
      <c r="A57" s="14"/>
      <c r="B57" s="14"/>
      <c r="C57" s="14"/>
      <c r="D57" s="14"/>
      <c r="E57" s="15"/>
      <c r="F57" s="14"/>
      <c r="G57" s="14"/>
      <c r="H57" s="7"/>
      <c r="I57" s="14"/>
      <c r="J57" s="14"/>
    </row>
    <row r="58" ht="19" customHeight="1" spans="1:14">
      <c r="A58" s="14"/>
      <c r="B58" s="14"/>
      <c r="C58" s="14"/>
      <c r="D58" s="14"/>
      <c r="E58" s="15"/>
      <c r="F58" s="14"/>
      <c r="G58" s="14"/>
      <c r="H58" s="7"/>
      <c r="I58" s="14"/>
      <c r="J58" s="14"/>
    </row>
    <row r="59" ht="19" customHeight="1" spans="1:14">
      <c r="A59" s="14"/>
      <c r="B59" s="14"/>
      <c r="C59" s="14"/>
      <c r="D59" s="14"/>
      <c r="E59" s="15"/>
      <c r="F59" s="14"/>
      <c r="G59" s="14"/>
      <c r="H59" s="7"/>
      <c r="I59" s="14"/>
      <c r="J59" s="14"/>
    </row>
    <row r="60" ht="19" customHeight="1" spans="1:14">
      <c r="A60" s="2" t="s">
        <v>15</v>
      </c>
      <c r="B60" s="2" t="s">
        <v>160</v>
      </c>
      <c r="C60" s="2" t="s">
        <v>0</v>
      </c>
      <c r="D60" s="2" t="s">
        <v>0</v>
      </c>
      <c r="E60" s="4" t="s">
        <v>109</v>
      </c>
      <c r="F60" s="2" t="s">
        <v>6</v>
      </c>
      <c r="G60" s="2" t="s">
        <v>6</v>
      </c>
      <c r="H60" s="5" t="s">
        <v>109</v>
      </c>
      <c r="I60" s="2" t="s">
        <v>11</v>
      </c>
      <c r="J60" s="2" t="s">
        <v>140</v>
      </c>
    </row>
    <row r="61" ht="19" customHeight="1" spans="1:14">
      <c r="A61" s="2"/>
      <c r="B61" s="2" t="s">
        <v>143</v>
      </c>
      <c r="C61" s="2" t="s">
        <v>143</v>
      </c>
      <c r="D61" s="2" t="s">
        <v>158</v>
      </c>
      <c r="E61" s="4"/>
      <c r="F61" s="2" t="s">
        <v>143</v>
      </c>
      <c r="G61" s="2" t="s">
        <v>145</v>
      </c>
      <c r="H61" s="5"/>
      <c r="I61" s="2" t="s">
        <v>143</v>
      </c>
      <c r="J61" s="2" t="s">
        <v>143</v>
      </c>
    </row>
    <row r="62" ht="19" customHeight="1" spans="1:14">
      <c r="A62" s="22" t="s">
        <v>33</v>
      </c>
      <c r="B62" s="13">
        <f t="shared" ref="B62:J62" si="14">SUM(B63:B93)</f>
        <v>437033.719483602</v>
      </c>
      <c r="C62" s="13">
        <f t="shared" si="14"/>
        <v>75303.8461214956</v>
      </c>
      <c r="D62" s="13" t="e">
        <f t="shared" si="14"/>
        <v>#REF!</v>
      </c>
      <c r="E62" s="13" t="e">
        <f t="shared" si="14"/>
        <v>#REF!</v>
      </c>
      <c r="F62" s="13">
        <f t="shared" si="14"/>
        <v>90280.6747610562</v>
      </c>
      <c r="G62" s="13" t="e">
        <f t="shared" si="14"/>
        <v>#REF!</v>
      </c>
      <c r="H62" s="10" t="e">
        <f t="shared" si="14"/>
        <v>#REF!</v>
      </c>
      <c r="I62" s="13">
        <f t="shared" si="14"/>
        <v>123463.615203357</v>
      </c>
      <c r="J62" s="13">
        <f t="shared" si="14"/>
        <v>147985.583397693</v>
      </c>
    </row>
    <row r="63" ht="19" customHeight="1" spans="1:14">
      <c r="A63" s="14" t="s">
        <v>37</v>
      </c>
      <c r="B63" s="14">
        <v>153850.152920354</v>
      </c>
      <c r="C63" s="14">
        <v>18672.1125663717</v>
      </c>
      <c r="D63" s="14" t="e">
        <f>VLOOKUP(A63,'2025数据'!B:D,5,0)+VLOOKUP(A63,'2025数据'!B:E,6,0)+VLOOKUP(A63,'2025数据'!B:O,17,0)</f>
        <v>#REF!</v>
      </c>
      <c r="E63" s="15" t="e">
        <f t="shared" ref="E63:E93" si="15">D63-C63</f>
        <v>#REF!</v>
      </c>
      <c r="F63" s="14">
        <v>25162.1819469027</v>
      </c>
      <c r="G63" s="14" t="e">
        <f>VLOOKUP(A63,'2025数据'!B:O,18,0)+VLOOKUP(A63,'2025数据'!B:O,19,0)+VLOOKUP(A63,'2025数据'!B:O,20,0)</f>
        <v>#REF!</v>
      </c>
      <c r="H63" s="7" t="e">
        <f t="shared" ref="H63:H93" si="16">G63-F63</f>
        <v>#REF!</v>
      </c>
      <c r="I63" s="14">
        <v>42457.1584070797</v>
      </c>
      <c r="J63" s="14">
        <v>67558.7</v>
      </c>
    </row>
    <row r="64" ht="19" customHeight="1" spans="1:14">
      <c r="A64" s="14" t="s">
        <v>35</v>
      </c>
      <c r="B64" s="14">
        <v>67918.9</v>
      </c>
      <c r="C64" s="14">
        <v>12869.5</v>
      </c>
      <c r="D64" s="14" t="e">
        <f>VLOOKUP(A64,'2025数据'!B:D,5,0)+VLOOKUP(A64,'2025数据'!B:E,6,0)+VLOOKUP(A64,'2025数据'!B:O,17,0)</f>
        <v>#REF!</v>
      </c>
      <c r="E64" s="15" t="e">
        <f t="shared" si="15"/>
        <v>#REF!</v>
      </c>
      <c r="F64" s="14">
        <v>18431</v>
      </c>
      <c r="G64" s="14" t="e">
        <f>VLOOKUP(A64,'2025数据'!B:O,18,0)+VLOOKUP(A64,'2025数据'!B:O,19,0)+VLOOKUP(A64,'2025数据'!B:O,20,0)</f>
        <v>#REF!</v>
      </c>
      <c r="H64" s="7" t="e">
        <f t="shared" si="16"/>
        <v>#REF!</v>
      </c>
      <c r="I64" s="14">
        <v>20746.6</v>
      </c>
      <c r="J64" s="14">
        <v>15871.8</v>
      </c>
    </row>
    <row r="65" ht="19" customHeight="1" spans="1:20">
      <c r="A65" s="16" t="s">
        <v>43</v>
      </c>
      <c r="B65" s="16">
        <v>9010.96</v>
      </c>
      <c r="C65" s="16">
        <v>2048.9</v>
      </c>
      <c r="D65" s="16" t="e">
        <f>VLOOKUP(A65,'2025数据'!B:D,5,0)+VLOOKUP(A65,'2025数据'!B:E,6,0)+VLOOKUP(A65,'2025数据'!B:O,17,0)</f>
        <v>#REF!</v>
      </c>
      <c r="E65" s="17" t="e">
        <f t="shared" si="15"/>
        <v>#REF!</v>
      </c>
      <c r="F65" s="16">
        <v>3802.54</v>
      </c>
      <c r="G65" s="16" t="e">
        <f>VLOOKUP(A65,'2025数据'!B:O,18,0)+VLOOKUP(A65,'2025数据'!B:O,19,0)+VLOOKUP(A65,'2025数据'!B:O,20,0)</f>
        <v>#REF!</v>
      </c>
      <c r="H65" s="18" t="e">
        <f t="shared" si="16"/>
        <v>#REF!</v>
      </c>
      <c r="I65" s="16">
        <v>2823.52</v>
      </c>
      <c r="J65" s="16">
        <v>336</v>
      </c>
    </row>
    <row r="66" ht="19" customHeight="1" spans="1:20">
      <c r="A66" s="16" t="s">
        <v>49</v>
      </c>
      <c r="B66" s="16">
        <v>8778</v>
      </c>
      <c r="C66" s="16">
        <v>2555</v>
      </c>
      <c r="D66" s="16" t="e">
        <f>VLOOKUP(A66,'2025数据'!B:D,5,0)+VLOOKUP(A66,'2025数据'!B:E,6,0)+VLOOKUP(A66,'2025数据'!B:O,17,0)</f>
        <v>#REF!</v>
      </c>
      <c r="E66" s="17" t="e">
        <f t="shared" si="15"/>
        <v>#REF!</v>
      </c>
      <c r="F66" s="16">
        <v>3542</v>
      </c>
      <c r="G66" s="16" t="e">
        <f>VLOOKUP(A66,'2025数据'!B:O,18,0)+VLOOKUP(A66,'2025数据'!B:O,19,0)+VLOOKUP(A66,'2025数据'!B:O,20,0)</f>
        <v>#REF!</v>
      </c>
      <c r="H66" s="18" t="e">
        <f t="shared" si="16"/>
        <v>#REF!</v>
      </c>
      <c r="I66" s="16">
        <v>1869</v>
      </c>
      <c r="J66" s="16">
        <v>812</v>
      </c>
    </row>
    <row r="67" ht="19" customHeight="1" spans="1:20">
      <c r="A67" s="16" t="s">
        <v>152</v>
      </c>
      <c r="B67" s="16">
        <v>6580</v>
      </c>
      <c r="C67" s="16">
        <v>1204</v>
      </c>
      <c r="D67" s="16" t="e">
        <f>VLOOKUP(A67,'2025数据'!B:D,5,0)+VLOOKUP(A67,'2025数据'!B:E,6,0)+VLOOKUP(A67,'2025数据'!B:O,17,0)</f>
        <v>#N/A</v>
      </c>
      <c r="E67" s="17" t="e">
        <f t="shared" si="15"/>
        <v>#N/A</v>
      </c>
      <c r="F67" s="16">
        <v>2114</v>
      </c>
      <c r="G67" s="16" t="e">
        <f>VLOOKUP(A67,'2025数据'!B:O,18,0)+VLOOKUP(A67,'2025数据'!B:O,19,0)+VLOOKUP(A67,'2025数据'!B:O,20,0)</f>
        <v>#N/A</v>
      </c>
      <c r="H67" s="18" t="e">
        <f t="shared" si="16"/>
        <v>#N/A</v>
      </c>
      <c r="I67" s="16">
        <v>2716</v>
      </c>
      <c r="J67" s="16">
        <v>546</v>
      </c>
    </row>
    <row r="68" ht="19" customHeight="1" spans="1:20">
      <c r="A68" s="16" t="s">
        <v>64</v>
      </c>
      <c r="B68" s="16">
        <v>5170.55</v>
      </c>
      <c r="C68" s="16">
        <v>791.28</v>
      </c>
      <c r="D68" s="16" t="e">
        <f>VLOOKUP(A68,'2025数据'!B:D,5,0)+VLOOKUP(A68,'2025数据'!B:E,6,0)+VLOOKUP(A68,'2025数据'!B:O,17,0)</f>
        <v>#REF!</v>
      </c>
      <c r="E68" s="17" t="e">
        <f t="shared" si="15"/>
        <v>#REF!</v>
      </c>
      <c r="F68" s="16">
        <v>1176.28</v>
      </c>
      <c r="G68" s="16" t="e">
        <f>VLOOKUP(A68,'2025数据'!B:O,18,0)+VLOOKUP(A68,'2025数据'!B:O,19,0)+VLOOKUP(A68,'2025数据'!B:O,20,0)</f>
        <v>#REF!</v>
      </c>
      <c r="H68" s="18" t="e">
        <f t="shared" si="16"/>
        <v>#REF!</v>
      </c>
      <c r="I68" s="16">
        <v>2352.56</v>
      </c>
      <c r="J68" s="16">
        <v>850.43</v>
      </c>
    </row>
    <row r="69" ht="19" customHeight="1" spans="1:20">
      <c r="A69" s="16" t="s">
        <v>50</v>
      </c>
      <c r="B69" s="16">
        <v>2548</v>
      </c>
      <c r="C69" s="16">
        <v>385</v>
      </c>
      <c r="D69" s="16" t="e">
        <f>VLOOKUP(A69,'2025数据'!B:D,5,0)+VLOOKUP(A69,'2025数据'!B:E,6,0)+VLOOKUP(A69,'2025数据'!B:O,17,0)</f>
        <v>#REF!</v>
      </c>
      <c r="E69" s="17" t="e">
        <f t="shared" si="15"/>
        <v>#REF!</v>
      </c>
      <c r="F69" s="16">
        <v>1106</v>
      </c>
      <c r="G69" s="16" t="e">
        <f>VLOOKUP(A69,'2025数据'!B:O,18,0)+VLOOKUP(A69,'2025数据'!B:O,19,0)+VLOOKUP(A69,'2025数据'!B:O,20,0)</f>
        <v>#REF!</v>
      </c>
      <c r="H69" s="18" t="e">
        <f t="shared" si="16"/>
        <v>#REF!</v>
      </c>
      <c r="I69" s="16">
        <v>1057</v>
      </c>
      <c r="J69" s="16">
        <v>0</v>
      </c>
    </row>
    <row r="70" ht="19" customHeight="1" spans="1:20">
      <c r="A70" s="16" t="s">
        <v>39</v>
      </c>
      <c r="B70" s="16">
        <v>39977.7</v>
      </c>
      <c r="C70" s="16">
        <v>4483.5</v>
      </c>
      <c r="D70" s="16" t="e">
        <f>VLOOKUP(A70,'2025数据'!B:D,5,0)+VLOOKUP(A70,'2025数据'!B:E,6,0)+VLOOKUP(A70,'2025数据'!B:O,17,0)</f>
        <v>#REF!</v>
      </c>
      <c r="E70" s="17" t="e">
        <f t="shared" si="15"/>
        <v>#REF!</v>
      </c>
      <c r="F70" s="16">
        <v>5080.6</v>
      </c>
      <c r="G70" s="16" t="e">
        <f>VLOOKUP(A70,'2025数据'!B:O,18,0)+VLOOKUP(A70,'2025数据'!B:O,19,0)+VLOOKUP(A70,'2025数据'!B:O,20,0)</f>
        <v>#REF!</v>
      </c>
      <c r="H70" s="18" t="e">
        <f t="shared" si="16"/>
        <v>#REF!</v>
      </c>
      <c r="I70" s="16">
        <v>11531.8</v>
      </c>
      <c r="J70" s="16">
        <v>18881.8</v>
      </c>
    </row>
    <row r="71" ht="19" customHeight="1" spans="1:20">
      <c r="A71" s="16" t="s">
        <v>41</v>
      </c>
      <c r="B71" s="16">
        <v>4631.2</v>
      </c>
      <c r="C71" s="16">
        <v>1311.1</v>
      </c>
      <c r="D71" s="16" t="e">
        <f>VLOOKUP(A71,'2025数据'!B:D,5,0)+VLOOKUP(A71,'2025数据'!B:E,6,0)+VLOOKUP(A71,'2025数据'!B:O,17,0)</f>
        <v>#REF!</v>
      </c>
      <c r="E71" s="17" t="e">
        <f t="shared" si="15"/>
        <v>#REF!</v>
      </c>
      <c r="F71" s="16">
        <v>966</v>
      </c>
      <c r="G71" s="16" t="e">
        <f>VLOOKUP(A71,'2025数据'!B:O,18,0)+VLOOKUP(A71,'2025数据'!B:O,19,0)+VLOOKUP(A71,'2025数据'!B:O,20,0)</f>
        <v>#REF!</v>
      </c>
      <c r="H71" s="18" t="e">
        <f t="shared" si="16"/>
        <v>#REF!</v>
      </c>
      <c r="I71" s="16">
        <v>1493.1</v>
      </c>
      <c r="J71" s="16">
        <v>861</v>
      </c>
    </row>
    <row r="72" ht="19" customHeight="1" spans="1:20">
      <c r="A72" s="16" t="s">
        <v>47</v>
      </c>
      <c r="B72" s="16">
        <v>3185.875</v>
      </c>
      <c r="C72" s="16">
        <v>1218.875</v>
      </c>
      <c r="D72" s="16" t="e">
        <f>VLOOKUP(A72,'2025数据'!B:D,5,0)+VLOOKUP(A72,'2025数据'!B:E,6,0)+VLOOKUP(A72,'2025数据'!B:O,17,0)</f>
        <v>#REF!</v>
      </c>
      <c r="E72" s="17" t="e">
        <f t="shared" si="15"/>
        <v>#REF!</v>
      </c>
      <c r="F72" s="16">
        <v>861</v>
      </c>
      <c r="G72" s="16" t="e">
        <f>VLOOKUP(A72,'2025数据'!B:O,18,0)+VLOOKUP(A72,'2025数据'!B:O,19,0)+VLOOKUP(A72,'2025数据'!B:O,20,0)</f>
        <v>#REF!</v>
      </c>
      <c r="H72" s="18" t="e">
        <f t="shared" si="16"/>
        <v>#REF!</v>
      </c>
      <c r="I72" s="16">
        <v>1106</v>
      </c>
      <c r="J72" s="16">
        <v>0</v>
      </c>
    </row>
    <row r="73" ht="19" customHeight="1" spans="1:20">
      <c r="A73" s="16" t="s">
        <v>52</v>
      </c>
      <c r="B73" s="16">
        <v>2128</v>
      </c>
      <c r="C73" s="16">
        <v>322</v>
      </c>
      <c r="D73" s="16" t="e">
        <f>VLOOKUP(A73,'2025数据'!B:D,5,0)+VLOOKUP(A73,'2025数据'!B:E,6,0)+VLOOKUP(A73,'2025数据'!B:O,17,0)</f>
        <v>#REF!</v>
      </c>
      <c r="E73" s="17" t="e">
        <f t="shared" si="15"/>
        <v>#REF!</v>
      </c>
      <c r="F73" s="16">
        <v>322</v>
      </c>
      <c r="G73" s="16" t="e">
        <f>VLOOKUP(A73,'2025数据'!B:O,18,0)+VLOOKUP(A73,'2025数据'!B:O,19,0)+VLOOKUP(A73,'2025数据'!B:O,20,0)</f>
        <v>#REF!</v>
      </c>
      <c r="H73" s="18" t="e">
        <f t="shared" si="16"/>
        <v>#REF!</v>
      </c>
      <c r="I73" s="16">
        <v>924</v>
      </c>
      <c r="J73" s="16">
        <v>560</v>
      </c>
    </row>
    <row r="74" ht="19" customHeight="1" spans="1:20">
      <c r="A74" s="16" t="s">
        <v>45</v>
      </c>
      <c r="B74" s="16">
        <v>84.28</v>
      </c>
      <c r="C74" s="16">
        <v>84.28</v>
      </c>
      <c r="D74" s="16" t="e">
        <f>VLOOKUP(A74,'2025数据'!B:D,5,0)+VLOOKUP(A74,'2025数据'!B:E,6,0)+VLOOKUP(A74,'2025数据'!B:O,17,0)</f>
        <v>#REF!</v>
      </c>
      <c r="E74" s="17" t="e">
        <f t="shared" si="15"/>
        <v>#REF!</v>
      </c>
      <c r="F74" s="16">
        <v>0</v>
      </c>
      <c r="G74" s="16" t="e">
        <f>VLOOKUP(A74,'2025数据'!B:O,18,0)+VLOOKUP(A74,'2025数据'!B:O,19,0)+VLOOKUP(A74,'2025数据'!B:O,20,0)</f>
        <v>#REF!</v>
      </c>
      <c r="H74" s="18" t="e">
        <f t="shared" si="16"/>
        <v>#REF!</v>
      </c>
      <c r="I74" s="16">
        <v>0</v>
      </c>
      <c r="J74" s="16">
        <v>0</v>
      </c>
      <c r="M74" s="20"/>
      <c r="N74" s="21"/>
      <c r="O74" s="21"/>
      <c r="P74" s="21"/>
      <c r="Q74" s="21"/>
      <c r="R74" s="21"/>
      <c r="S74" s="21"/>
      <c r="T74" s="21"/>
    </row>
    <row r="75" ht="19" customHeight="1" spans="1:20">
      <c r="A75" s="16" t="s">
        <v>54</v>
      </c>
      <c r="B75" s="16">
        <v>8598.4</v>
      </c>
      <c r="C75" s="16">
        <v>860</v>
      </c>
      <c r="D75" s="16" t="e">
        <f>VLOOKUP(A75,'2025数据'!B:D,5,0)+VLOOKUP(A75,'2025数据'!B:E,6,0)+VLOOKUP(A75,'2025数据'!B:O,17,0)</f>
        <v>#REF!</v>
      </c>
      <c r="E75" s="17" t="e">
        <f t="shared" si="15"/>
        <v>#REF!</v>
      </c>
      <c r="F75" s="16">
        <v>1897</v>
      </c>
      <c r="G75" s="16" t="e">
        <f>VLOOKUP(A75,'2025数据'!B:O,18,0)+VLOOKUP(A75,'2025数据'!B:O,19,0)+VLOOKUP(A75,'2025数据'!B:O,20,0)</f>
        <v>#REF!</v>
      </c>
      <c r="H75" s="18" t="e">
        <f t="shared" si="16"/>
        <v>#REF!</v>
      </c>
      <c r="I75" s="16">
        <v>2611</v>
      </c>
      <c r="J75" s="16">
        <v>3230.4</v>
      </c>
    </row>
    <row r="76" ht="19" customHeight="1" spans="1:20">
      <c r="A76" s="16" t="s">
        <v>56</v>
      </c>
      <c r="B76" s="16">
        <v>4905.572</v>
      </c>
      <c r="C76" s="16">
        <v>643.572</v>
      </c>
      <c r="D76" s="16" t="e">
        <f>VLOOKUP(A76,'2025数据'!B:D,5,0)+VLOOKUP(A76,'2025数据'!B:E,6,0)+VLOOKUP(A76,'2025数据'!B:O,17,0)</f>
        <v>#REF!</v>
      </c>
      <c r="E76" s="17" t="e">
        <f t="shared" si="15"/>
        <v>#REF!</v>
      </c>
      <c r="F76" s="16">
        <v>1065.5</v>
      </c>
      <c r="G76" s="16" t="e">
        <f>VLOOKUP(A76,'2025数据'!B:O,18,0)+VLOOKUP(A76,'2025数据'!B:O,19,0)+VLOOKUP(A76,'2025数据'!B:O,20,0)</f>
        <v>#REF!</v>
      </c>
      <c r="H76" s="18" t="e">
        <f t="shared" si="16"/>
        <v>#REF!</v>
      </c>
      <c r="I76" s="16">
        <v>1833.5</v>
      </c>
      <c r="J76" s="16">
        <v>1363</v>
      </c>
    </row>
    <row r="77" ht="17" customHeight="1" spans="1:20">
      <c r="A77" s="16" t="s">
        <v>153</v>
      </c>
      <c r="B77" s="16">
        <v>11083.128</v>
      </c>
      <c r="C77" s="16">
        <v>305.312</v>
      </c>
      <c r="D77" s="16" t="e">
        <f>VLOOKUP(A77,'2025数据'!B:D,5,0)+VLOOKUP(A77,'2025数据'!B:E,6,0)+VLOOKUP(A77,'2025数据'!B:O,17,0)</f>
        <v>#REF!</v>
      </c>
      <c r="E77" s="17" t="e">
        <f t="shared" si="15"/>
        <v>#REF!</v>
      </c>
      <c r="F77" s="16">
        <v>1844.836</v>
      </c>
      <c r="G77" s="16" t="e">
        <f>VLOOKUP(A77,'2025数据'!B:O,18,0)+VLOOKUP(A77,'2025数据'!B:O,19,0)+VLOOKUP(A77,'2025数据'!B:O,20,0)</f>
        <v>#REF!</v>
      </c>
      <c r="H77" s="18" t="e">
        <f t="shared" si="16"/>
        <v>#REF!</v>
      </c>
      <c r="I77" s="16">
        <v>4254.74</v>
      </c>
      <c r="J77" s="16">
        <v>4678.24</v>
      </c>
    </row>
    <row r="78" ht="19" customHeight="1" spans="1:20">
      <c r="A78" s="14" t="s">
        <v>66</v>
      </c>
      <c r="B78" s="14">
        <v>44198.785840708</v>
      </c>
      <c r="C78" s="14">
        <v>11876.2194690266</v>
      </c>
      <c r="D78" s="14" t="e">
        <f>VLOOKUP(A78,'2025数据'!B:D,5,0)+VLOOKUP(A78,'2025数据'!B:E,6,0)+VLOOKUP(A78,'2025数据'!B:O,17,0)</f>
        <v>#REF!</v>
      </c>
      <c r="E78" s="15" t="e">
        <f t="shared" si="15"/>
        <v>#REF!</v>
      </c>
      <c r="F78" s="14">
        <v>9992.4778761062</v>
      </c>
      <c r="G78" s="14" t="e">
        <f>VLOOKUP(A78,'2025数据'!B:O,18,0)+VLOOKUP(A78,'2025数据'!B:O,19,0)+VLOOKUP(A78,'2025数据'!B:O,20,0)</f>
        <v>#REF!</v>
      </c>
      <c r="H78" s="7" t="e">
        <f t="shared" si="16"/>
        <v>#REF!</v>
      </c>
      <c r="I78" s="14">
        <v>11050.8849557522</v>
      </c>
      <c r="J78" s="14">
        <v>11279.203539823</v>
      </c>
    </row>
    <row r="79" ht="19" customHeight="1" spans="1:20">
      <c r="A79" s="14" t="s">
        <v>67</v>
      </c>
      <c r="B79" s="14">
        <v>13281.9336340445</v>
      </c>
      <c r="C79" s="14">
        <v>2809.34677565487</v>
      </c>
      <c r="D79" s="14" t="e">
        <f>VLOOKUP(A79,'2025数据'!B:D,5,0)+VLOOKUP(A79,'2025数据'!B:E,6,0)+VLOOKUP(A79,'2025数据'!B:O,17,0)</f>
        <v>#REF!</v>
      </c>
      <c r="E79" s="15" t="e">
        <f t="shared" si="15"/>
        <v>#REF!</v>
      </c>
      <c r="F79" s="14">
        <v>3717.1159734455</v>
      </c>
      <c r="G79" s="14" t="e">
        <f>VLOOKUP(A79,'2025数据'!B:O,18,0)+VLOOKUP(A79,'2025数据'!B:O,19,0)+VLOOKUP(A79,'2025数据'!B:O,20,0)</f>
        <v>#REF!</v>
      </c>
      <c r="H79" s="7" t="e">
        <f t="shared" si="16"/>
        <v>#REF!</v>
      </c>
      <c r="I79" s="14">
        <v>3717.1159734455</v>
      </c>
      <c r="J79" s="14">
        <v>3038.35491149861</v>
      </c>
    </row>
    <row r="80" ht="19" customHeight="1" spans="1:20">
      <c r="A80" s="14" t="s">
        <v>161</v>
      </c>
      <c r="B80" s="14">
        <v>10296.8797515044</v>
      </c>
      <c r="C80" s="14">
        <v>0</v>
      </c>
      <c r="D80" s="14">
        <v>0</v>
      </c>
      <c r="E80" s="15">
        <f t="shared" si="15"/>
        <v>0</v>
      </c>
      <c r="F80" s="14">
        <v>0</v>
      </c>
      <c r="G80" s="14">
        <v>0</v>
      </c>
      <c r="H80" s="7">
        <f t="shared" si="16"/>
        <v>0</v>
      </c>
      <c r="I80" s="14">
        <v>2574.2199378761</v>
      </c>
      <c r="J80" s="14">
        <v>7722.6598136283</v>
      </c>
    </row>
    <row r="81" ht="19" customHeight="1" spans="1:20">
      <c r="A81" s="14" t="s">
        <v>69</v>
      </c>
      <c r="B81" s="14">
        <v>6371.68141592921</v>
      </c>
      <c r="C81" s="14">
        <v>0</v>
      </c>
      <c r="D81" s="14">
        <v>0</v>
      </c>
      <c r="E81" s="15">
        <f t="shared" si="15"/>
        <v>0</v>
      </c>
      <c r="F81" s="14">
        <v>1941.64247787611</v>
      </c>
      <c r="G81" s="14">
        <v>0</v>
      </c>
      <c r="H81" s="7">
        <f t="shared" si="16"/>
        <v>-1941.64247787611</v>
      </c>
      <c r="I81" s="14">
        <v>1911.50442477876</v>
      </c>
      <c r="J81" s="14">
        <v>2518.53451327433</v>
      </c>
    </row>
    <row r="82" ht="19" customHeight="1" spans="1:20">
      <c r="A82" s="14" t="s">
        <v>68</v>
      </c>
      <c r="B82" s="14">
        <v>2550.832</v>
      </c>
      <c r="C82" s="14">
        <v>2192.187</v>
      </c>
      <c r="D82" s="14" t="e">
        <f>VLOOKUP(A82,'2025数据'!B:D,5,0)+VLOOKUP(A82,'2025数据'!B:E,6,0)+VLOOKUP(A82,'2025数据'!B:O,17,0)</f>
        <v>#REF!</v>
      </c>
      <c r="E82" s="15" t="e">
        <f t="shared" si="15"/>
        <v>#REF!</v>
      </c>
      <c r="F82" s="14">
        <v>358.645</v>
      </c>
      <c r="G82" s="14" t="e">
        <f>VLOOKUP(A82,'2025数据'!B:O,18,0)+VLOOKUP(A82,'2025数据'!B:O,19,0)+VLOOKUP(A82,'2025数据'!B:O,20,0)</f>
        <v>#REF!</v>
      </c>
      <c r="H82" s="7" t="e">
        <f t="shared" si="16"/>
        <v>#REF!</v>
      </c>
      <c r="I82" s="14">
        <v>0</v>
      </c>
      <c r="J82" s="14">
        <v>0</v>
      </c>
    </row>
    <row r="83" ht="19" customHeight="1" spans="1:20">
      <c r="A83" s="14" t="s">
        <v>71</v>
      </c>
      <c r="B83" s="14">
        <v>11317.1617699115</v>
      </c>
      <c r="C83" s="14">
        <v>7057.48920353982</v>
      </c>
      <c r="D83" s="14" t="e">
        <f>VLOOKUP(A83,'2025数据'!B:D,5,0)+VLOOKUP(A83,'2025数据'!B:E,6,0)+VLOOKUP(A83,'2025数据'!B:O,17,0)</f>
        <v>#REF!</v>
      </c>
      <c r="E83" s="15" t="e">
        <f t="shared" si="15"/>
        <v>#REF!</v>
      </c>
      <c r="F83" s="14">
        <v>3187.17256637168</v>
      </c>
      <c r="G83" s="14" t="e">
        <f>VLOOKUP(A83,'2025数据'!B:O,18,0)+VLOOKUP(A83,'2025数据'!B:O,19,0)+VLOOKUP(A83,'2025数据'!B:O,20,0)</f>
        <v>#REF!</v>
      </c>
      <c r="H83" s="7" t="e">
        <f t="shared" si="16"/>
        <v>#REF!</v>
      </c>
      <c r="I83" s="14">
        <v>1072.5</v>
      </c>
      <c r="J83" s="14">
        <v>0</v>
      </c>
    </row>
    <row r="84" ht="19" customHeight="1" spans="1:20">
      <c r="A84" s="14" t="s">
        <v>70</v>
      </c>
      <c r="B84" s="14">
        <v>4132.65299185841</v>
      </c>
      <c r="C84" s="14">
        <v>2266.16847858407</v>
      </c>
      <c r="D84" s="14" t="e">
        <f>VLOOKUP(A84,'2025数据'!B:D,5,0)+VLOOKUP(A84,'2025数据'!B:E,6,0)+VLOOKUP(A84,'2025数据'!B:O,17,0)</f>
        <v>#REF!</v>
      </c>
      <c r="E84" s="15" t="e">
        <f t="shared" si="15"/>
        <v>#REF!</v>
      </c>
      <c r="F84" s="14">
        <v>1447.39088495575</v>
      </c>
      <c r="G84" s="14" t="e">
        <f>VLOOKUP(A84,'2025数据'!B:O,18,0)+VLOOKUP(A84,'2025数据'!B:O,19,0)+VLOOKUP(A84,'2025数据'!B:O,20,0)</f>
        <v>#REF!</v>
      </c>
      <c r="H84" s="7" t="e">
        <f t="shared" si="16"/>
        <v>#REF!</v>
      </c>
      <c r="I84" s="14">
        <v>230.973451327433</v>
      </c>
      <c r="J84" s="14">
        <v>188.12017699115</v>
      </c>
    </row>
    <row r="85" ht="19" customHeight="1" spans="1:20">
      <c r="A85" s="14" t="s">
        <v>72</v>
      </c>
      <c r="B85" s="14">
        <v>1046.49380530973</v>
      </c>
      <c r="C85" s="14">
        <v>1046.49380530974</v>
      </c>
      <c r="D85" s="14" t="e">
        <f>VLOOKUP(A85,'2025数据'!B:D,5,0)+VLOOKUP(A85,'2025数据'!B:E,6,0)+VLOOKUP(A85,'2025数据'!B:O,17,0)</f>
        <v>#REF!</v>
      </c>
      <c r="E85" s="15" t="e">
        <f t="shared" si="15"/>
        <v>#REF!</v>
      </c>
      <c r="F85" s="14">
        <v>0</v>
      </c>
      <c r="G85" s="14" t="e">
        <f>VLOOKUP(A85,'2025数据'!B:O,18,0)+VLOOKUP(A85,'2025数据'!B:O,19,0)+VLOOKUP(A85,'2025数据'!B:O,20,0)</f>
        <v>#REF!</v>
      </c>
      <c r="H85" s="7" t="e">
        <f t="shared" si="16"/>
        <v>#REF!</v>
      </c>
      <c r="I85" s="14">
        <v>0</v>
      </c>
      <c r="J85" s="14">
        <v>0</v>
      </c>
    </row>
    <row r="86" ht="19" customHeight="1" spans="1:20">
      <c r="A86" s="14" t="s">
        <v>78</v>
      </c>
      <c r="B86" s="14">
        <v>0</v>
      </c>
      <c r="C86" s="14">
        <v>0</v>
      </c>
      <c r="D86" s="14" t="e">
        <f>VLOOKUP(A86,'2025数据'!B:D,5,0)+VLOOKUP(A86,'2025数据'!B:E,6,0)+VLOOKUP(A86,'2025数据'!B:O,17,0)</f>
        <v>#REF!</v>
      </c>
      <c r="E86" s="15" t="e">
        <f t="shared" si="15"/>
        <v>#REF!</v>
      </c>
      <c r="F86" s="14">
        <v>0</v>
      </c>
      <c r="G86" s="14" t="e">
        <f>VLOOKUP(A86,'2025数据'!B:O,18,0)+VLOOKUP(A86,'2025数据'!B:O,19,0)+VLOOKUP(A86,'2025数据'!B:O,20,0)</f>
        <v>#REF!</v>
      </c>
      <c r="H86" s="7" t="e">
        <f t="shared" si="16"/>
        <v>#REF!</v>
      </c>
      <c r="I86" s="14">
        <v>0</v>
      </c>
      <c r="J86" s="14">
        <v>0</v>
      </c>
      <c r="M86" s="20"/>
      <c r="N86" s="21"/>
      <c r="O86" s="21"/>
      <c r="P86" s="21"/>
      <c r="Q86" s="21"/>
      <c r="R86" s="21"/>
      <c r="S86" s="21"/>
      <c r="T86" s="21"/>
    </row>
    <row r="87" ht="19" customHeight="1" spans="1:20">
      <c r="A87" s="14" t="s">
        <v>154</v>
      </c>
      <c r="B87" s="14">
        <v>4373.6</v>
      </c>
      <c r="C87" s="14">
        <v>0</v>
      </c>
      <c r="D87" s="14">
        <v>0</v>
      </c>
      <c r="E87" s="15">
        <f t="shared" si="15"/>
        <v>0</v>
      </c>
      <c r="F87" s="14">
        <v>0</v>
      </c>
      <c r="G87" s="14">
        <v>0</v>
      </c>
      <c r="H87" s="7">
        <f t="shared" si="16"/>
        <v>0</v>
      </c>
      <c r="I87" s="14">
        <v>1732.5</v>
      </c>
      <c r="J87" s="14">
        <v>2641.1</v>
      </c>
    </row>
    <row r="88" ht="19" customHeight="1" spans="1:20">
      <c r="A88" s="14" t="s">
        <v>155</v>
      </c>
      <c r="B88" s="14">
        <v>1050</v>
      </c>
      <c r="C88" s="14">
        <v>0</v>
      </c>
      <c r="D88" s="14">
        <v>0</v>
      </c>
      <c r="E88" s="15">
        <f t="shared" si="15"/>
        <v>0</v>
      </c>
      <c r="F88" s="14">
        <v>0</v>
      </c>
      <c r="G88" s="14">
        <v>0</v>
      </c>
      <c r="H88" s="7">
        <f t="shared" si="16"/>
        <v>0</v>
      </c>
      <c r="I88" s="14">
        <v>0</v>
      </c>
      <c r="J88" s="14">
        <v>1050</v>
      </c>
    </row>
    <row r="89" ht="19" customHeight="1" spans="1:20">
      <c r="A89" s="14" t="s">
        <v>74</v>
      </c>
      <c r="B89" s="14">
        <v>160.094867256637</v>
      </c>
      <c r="C89" s="14">
        <v>160.094867256637</v>
      </c>
      <c r="D89" s="14" t="e">
        <f>VLOOKUP(A89,'2025数据'!B:D,5,0)+VLOOKUP(A89,'2025数据'!B:E,6,0)+VLOOKUP(A89,'2025数据'!B:O,17,0)</f>
        <v>#REF!</v>
      </c>
      <c r="E89" s="15" t="e">
        <f t="shared" si="15"/>
        <v>#REF!</v>
      </c>
      <c r="F89" s="14">
        <v>0</v>
      </c>
      <c r="G89" s="14" t="e">
        <f>VLOOKUP(A89,'2025数据'!B:O,18,0)+VLOOKUP(A89,'2025数据'!B:O,19,0)+VLOOKUP(A89,'2025数据'!B:O,20,0)</f>
        <v>#REF!</v>
      </c>
      <c r="H89" s="7" t="e">
        <f t="shared" si="16"/>
        <v>#REF!</v>
      </c>
      <c r="I89" s="14">
        <v>0</v>
      </c>
      <c r="J89" s="14">
        <v>0</v>
      </c>
    </row>
    <row r="90" ht="19" customHeight="1" spans="1:20">
      <c r="A90" s="14" t="s">
        <v>73</v>
      </c>
      <c r="B90" s="14">
        <v>130.088495575221</v>
      </c>
      <c r="C90" s="14">
        <v>130.088495575221</v>
      </c>
      <c r="D90" s="14" t="e">
        <f>VLOOKUP(A90,'2025数据'!B:D,5,0)+VLOOKUP(A90,'2025数据'!B:E,6,0)+VLOOKUP(A90,'2025数据'!B:O,17,0)</f>
        <v>#REF!</v>
      </c>
      <c r="E90" s="15" t="e">
        <f t="shared" si="15"/>
        <v>#REF!</v>
      </c>
      <c r="F90" s="14">
        <v>0</v>
      </c>
      <c r="G90" s="14" t="e">
        <f>VLOOKUP(A90,'2025数据'!B:O,18,0)+VLOOKUP(A90,'2025数据'!B:O,19,0)+VLOOKUP(A90,'2025数据'!B:O,20,0)</f>
        <v>#REF!</v>
      </c>
      <c r="H90" s="7" t="e">
        <f t="shared" si="16"/>
        <v>#REF!</v>
      </c>
      <c r="I90" s="14">
        <v>0</v>
      </c>
      <c r="J90" s="14">
        <v>0</v>
      </c>
    </row>
    <row r="91" ht="19" customHeight="1" spans="1:20">
      <c r="A91" s="14" t="s">
        <v>77</v>
      </c>
      <c r="B91" s="14">
        <v>0</v>
      </c>
      <c r="C91" s="14">
        <v>0</v>
      </c>
      <c r="D91" s="14" t="e">
        <f>VLOOKUP(A91,'2025数据'!B:D,5,0)+VLOOKUP(A91,'2025数据'!B:E,6,0)+VLOOKUP(A91,'2025数据'!B:O,17,0)</f>
        <v>#REF!</v>
      </c>
      <c r="E91" s="15" t="e">
        <f t="shared" si="15"/>
        <v>#REF!</v>
      </c>
      <c r="F91" s="14">
        <v>0</v>
      </c>
      <c r="G91" s="14" t="e">
        <f>VLOOKUP(A91,'2025数据'!B:O,18,0)+VLOOKUP(A91,'2025数据'!B:O,19,0)+VLOOKUP(A91,'2025数据'!B:O,20,0)</f>
        <v>#REF!</v>
      </c>
      <c r="H91" s="7" t="e">
        <f t="shared" si="16"/>
        <v>#REF!</v>
      </c>
      <c r="I91" s="14">
        <v>0</v>
      </c>
      <c r="J91" s="14">
        <v>0</v>
      </c>
    </row>
    <row r="92" ht="19" customHeight="1" spans="1:20">
      <c r="A92" s="14" t="s">
        <v>76</v>
      </c>
      <c r="B92" s="14">
        <v>0</v>
      </c>
      <c r="C92" s="14">
        <v>0</v>
      </c>
      <c r="D92" s="14" t="e">
        <f>VLOOKUP(A92,'2025数据'!B:D,5,0)+VLOOKUP(A92,'2025数据'!B:E,6,0)+VLOOKUP(A92,'2025数据'!B:O,17,0)</f>
        <v>#REF!</v>
      </c>
      <c r="E92" s="15" t="e">
        <f t="shared" si="15"/>
        <v>#REF!</v>
      </c>
      <c r="F92" s="14">
        <v>0</v>
      </c>
      <c r="G92" s="14" t="e">
        <f>VLOOKUP(A92,'2025数据'!B:O,18,0)+VLOOKUP(A92,'2025数据'!B:O,19,0)+VLOOKUP(A92,'2025数据'!B:O,20,0)</f>
        <v>#REF!</v>
      </c>
      <c r="H92" s="7" t="e">
        <f t="shared" si="16"/>
        <v>#REF!</v>
      </c>
      <c r="I92" s="14">
        <v>0</v>
      </c>
      <c r="J92" s="14">
        <v>0</v>
      </c>
    </row>
    <row r="93" ht="19" customHeight="1" spans="1:20">
      <c r="A93" s="14" t="s">
        <v>79</v>
      </c>
      <c r="B93" s="14">
        <v>9672.79699115042</v>
      </c>
      <c r="C93" s="14">
        <v>11.3264601769911</v>
      </c>
      <c r="D93" s="14" t="e">
        <f>VLOOKUP(A93,'2025数据'!B:D,5,0)+VLOOKUP(A93,'2025数据'!B:E,6,0)+VLOOKUP(A93,'2025数据'!B:O,17,0)</f>
        <v>#REF!</v>
      </c>
      <c r="E93" s="15" t="e">
        <f t="shared" si="15"/>
        <v>#REF!</v>
      </c>
      <c r="F93" s="14">
        <v>2265.29203539822</v>
      </c>
      <c r="G93" s="14" t="e">
        <f>VLOOKUP(A93,'2025数据'!B:O,18,0)+VLOOKUP(A93,'2025数据'!B:O,19,0)+VLOOKUP(A93,'2025数据'!B:O,20,0)</f>
        <v>#REF!</v>
      </c>
      <c r="H93" s="7" t="e">
        <f t="shared" si="16"/>
        <v>#REF!</v>
      </c>
      <c r="I93" s="14">
        <v>3397.93805309733</v>
      </c>
      <c r="J93" s="14">
        <v>3998.24044247786</v>
      </c>
      <c r="M93" s="20"/>
      <c r="N93" s="21"/>
      <c r="O93" s="21"/>
      <c r="P93" s="21"/>
      <c r="Q93" s="21"/>
      <c r="R93" s="21"/>
      <c r="S93" s="21"/>
      <c r="T93" s="21"/>
    </row>
    <row r="94" ht="19" customHeight="1" spans="1:20">
      <c r="A94" s="14"/>
      <c r="B94" s="14"/>
      <c r="C94" s="14"/>
      <c r="D94" s="14"/>
      <c r="E94" s="15"/>
      <c r="F94" s="14"/>
      <c r="G94" s="14"/>
      <c r="H94" s="7"/>
      <c r="I94" s="14"/>
      <c r="J94" s="14"/>
    </row>
    <row r="95" ht="19" customHeight="1" spans="1:20">
      <c r="A95" s="14"/>
      <c r="B95" s="14"/>
      <c r="C95" s="14"/>
      <c r="D95" s="14"/>
      <c r="E95" s="15"/>
      <c r="F95" s="14"/>
      <c r="G95" s="14"/>
      <c r="H95" s="7"/>
      <c r="I95" s="14"/>
      <c r="J95" s="14"/>
    </row>
    <row r="96" ht="19" customHeight="1" spans="1:20">
      <c r="A96" s="2" t="s">
        <v>156</v>
      </c>
      <c r="B96" s="2" t="s">
        <v>160</v>
      </c>
      <c r="C96" s="2" t="s">
        <v>0</v>
      </c>
      <c r="D96" s="2" t="s">
        <v>0</v>
      </c>
      <c r="E96" s="4" t="s">
        <v>109</v>
      </c>
      <c r="F96" s="2" t="s">
        <v>6</v>
      </c>
      <c r="G96" s="2" t="s">
        <v>6</v>
      </c>
      <c r="H96" s="5" t="s">
        <v>109</v>
      </c>
      <c r="I96" s="2" t="s">
        <v>11</v>
      </c>
      <c r="J96" s="2" t="s">
        <v>140</v>
      </c>
      <c r="K96" s="2" t="s">
        <v>0</v>
      </c>
      <c r="L96" s="2" t="s">
        <v>6</v>
      </c>
      <c r="M96" s="2" t="s">
        <v>11</v>
      </c>
      <c r="N96" s="2" t="s">
        <v>140</v>
      </c>
    </row>
    <row r="97" ht="19" customHeight="1" spans="1:14">
      <c r="A97" s="2"/>
      <c r="B97" s="2" t="s">
        <v>143</v>
      </c>
      <c r="C97" s="2" t="s">
        <v>143</v>
      </c>
      <c r="D97" s="2" t="s">
        <v>158</v>
      </c>
      <c r="E97" s="4"/>
      <c r="F97" s="2" t="s">
        <v>143</v>
      </c>
      <c r="G97" s="2" t="s">
        <v>145</v>
      </c>
      <c r="H97" s="5"/>
      <c r="I97" s="2" t="s">
        <v>143</v>
      </c>
      <c r="J97" s="2" t="s">
        <v>143</v>
      </c>
      <c r="K97" s="2" t="s">
        <v>148</v>
      </c>
      <c r="L97" s="2" t="s">
        <v>148</v>
      </c>
      <c r="M97" s="2" t="s">
        <v>148</v>
      </c>
      <c r="N97" s="2" t="s">
        <v>148</v>
      </c>
    </row>
    <row r="98" ht="19" customHeight="1" spans="1:14">
      <c r="A98" s="14" t="s">
        <v>99</v>
      </c>
      <c r="B98" s="14">
        <v>100006.41</v>
      </c>
      <c r="C98" s="14">
        <v>19853.68</v>
      </c>
      <c r="D98" s="14" t="e">
        <f>VLOOKUP(A98,'2025数据'!B:D,5,0)+VLOOKUP(A98,'2025数据'!B:E,6,0)+VLOOKUP(A98,'2025数据'!B:O,17,0)</f>
        <v>#REF!</v>
      </c>
      <c r="E98" s="15" t="e">
        <f t="shared" ref="E98:E104" si="17">D98-C98</f>
        <v>#REF!</v>
      </c>
      <c r="F98" s="14">
        <v>30171.82</v>
      </c>
      <c r="G98" s="14" t="e">
        <f>VLOOKUP(A98,'2025数据'!B:O,18,0)+VLOOKUP(A98,'2025数据'!B:O,19,0)+VLOOKUP(A98,'2025数据'!B:O,20,0)</f>
        <v>#REF!</v>
      </c>
      <c r="H98" s="7" t="e">
        <f t="shared" ref="H98:H104" si="18">G98-F98</f>
        <v>#REF!</v>
      </c>
      <c r="I98" s="14">
        <v>31564.68</v>
      </c>
      <c r="J98" s="14">
        <v>18416.23</v>
      </c>
      <c r="K98" s="8">
        <f t="shared" ref="K98:K105" si="19">C98/B98</f>
        <v>0.198524074606818</v>
      </c>
      <c r="L98" s="8">
        <f t="shared" ref="L98:L105" si="20">F98/B98</f>
        <v>0.301698861103003</v>
      </c>
      <c r="M98" s="8">
        <f t="shared" ref="M98:M105" si="21">I98/B98</f>
        <v>0.31562656833697</v>
      </c>
      <c r="N98" s="8">
        <f t="shared" ref="N98:N105" si="22">J98/B98</f>
        <v>0.184150495953209</v>
      </c>
    </row>
    <row r="99" ht="19" customHeight="1" spans="1:14">
      <c r="A99" s="14" t="s">
        <v>100</v>
      </c>
      <c r="B99" s="14">
        <v>50007.055</v>
      </c>
      <c r="C99" s="14">
        <v>7419.755</v>
      </c>
      <c r="D99" s="14" t="e">
        <f>VLOOKUP(A99,'2025数据'!B:D,5,0)+VLOOKUP(A99,'2025数据'!B:E,6,0)+VLOOKUP(A99,'2025数据'!B:O,17,0)</f>
        <v>#REF!</v>
      </c>
      <c r="E99" s="15" t="e">
        <f t="shared" si="17"/>
        <v>#REF!</v>
      </c>
      <c r="F99" s="14">
        <v>7229.6</v>
      </c>
      <c r="G99" s="14" t="e">
        <f>VLOOKUP(A99,'2025数据'!B:O,18,0)+VLOOKUP(A99,'2025数据'!B:O,19,0)+VLOOKUP(A99,'2025数据'!B:O,20,0)</f>
        <v>#REF!</v>
      </c>
      <c r="H99" s="7" t="e">
        <f t="shared" si="18"/>
        <v>#REF!</v>
      </c>
      <c r="I99" s="14">
        <v>15054.9</v>
      </c>
      <c r="J99" s="14">
        <v>20302.8</v>
      </c>
      <c r="K99" s="8">
        <f t="shared" si="19"/>
        <v>0.148374164405402</v>
      </c>
      <c r="L99" s="8">
        <f t="shared" si="20"/>
        <v>0.144571600947106</v>
      </c>
      <c r="M99" s="8">
        <f t="shared" si="21"/>
        <v>0.301055521065978</v>
      </c>
      <c r="N99" s="8">
        <f t="shared" si="22"/>
        <v>0.405998713581514</v>
      </c>
    </row>
    <row r="100" ht="19" customHeight="1" spans="1:14">
      <c r="A100" s="14" t="s">
        <v>101</v>
      </c>
      <c r="B100" s="14">
        <v>13503.972</v>
      </c>
      <c r="C100" s="14">
        <v>1503.572</v>
      </c>
      <c r="D100" s="14" t="e">
        <f>VLOOKUP(A100,'2025数据'!B:D,5,0)+VLOOKUP(A100,'2025数据'!B:E,6,0)+VLOOKUP(A100,'2025数据'!B:O,17,0)</f>
        <v>#REF!</v>
      </c>
      <c r="E100" s="15" t="e">
        <f t="shared" si="17"/>
        <v>#REF!</v>
      </c>
      <c r="F100" s="14">
        <v>2962.5</v>
      </c>
      <c r="G100" s="14" t="e">
        <f>VLOOKUP(A100,'2025数据'!B:O,18,0)+VLOOKUP(A100,'2025数据'!B:O,19,0)+VLOOKUP(A100,'2025数据'!B:O,20,0)</f>
        <v>#REF!</v>
      </c>
      <c r="H100" s="7" t="e">
        <f t="shared" si="18"/>
        <v>#REF!</v>
      </c>
      <c r="I100" s="14">
        <v>4444.5</v>
      </c>
      <c r="J100" s="14">
        <v>4593.4</v>
      </c>
      <c r="K100" s="8">
        <f t="shared" si="19"/>
        <v>0.111342944135251</v>
      </c>
      <c r="L100" s="8">
        <f t="shared" si="20"/>
        <v>0.219379898003343</v>
      </c>
      <c r="M100" s="8">
        <f t="shared" si="21"/>
        <v>0.329125386219699</v>
      </c>
      <c r="N100" s="8">
        <f t="shared" si="22"/>
        <v>0.340151771641707</v>
      </c>
    </row>
    <row r="101" ht="19" customHeight="1" spans="1:14">
      <c r="A101" s="14" t="s">
        <v>102</v>
      </c>
      <c r="B101" s="14">
        <v>16506.728</v>
      </c>
      <c r="C101" s="14">
        <v>305.312</v>
      </c>
      <c r="D101" s="14" t="e">
        <f>VLOOKUP(A101,'2025数据'!B:D,5,0)+VLOOKUP(A101,'2025数据'!B:E,6,0)+VLOOKUP(A101,'2025数据'!B:O,17,0)</f>
        <v>#REF!</v>
      </c>
      <c r="E101" s="15" t="e">
        <f t="shared" si="17"/>
        <v>#REF!</v>
      </c>
      <c r="F101" s="14">
        <v>1844.836</v>
      </c>
      <c r="G101" s="14" t="e">
        <f>VLOOKUP(A101,'2025数据'!B:O,18,0)+VLOOKUP(A101,'2025数据'!B:O,19,0)+VLOOKUP(A101,'2025数据'!B:O,20,0)</f>
        <v>#REF!</v>
      </c>
      <c r="H101" s="7" t="e">
        <f t="shared" si="18"/>
        <v>#REF!</v>
      </c>
      <c r="I101" s="14">
        <v>5987.24</v>
      </c>
      <c r="J101" s="14">
        <v>8369.34</v>
      </c>
      <c r="K101" s="8">
        <f t="shared" si="19"/>
        <v>0.0184962156037223</v>
      </c>
      <c r="L101" s="8">
        <f t="shared" si="20"/>
        <v>0.111762670348721</v>
      </c>
      <c r="M101" s="8">
        <f t="shared" si="21"/>
        <v>0.362715130460743</v>
      </c>
      <c r="N101" s="8">
        <f t="shared" si="22"/>
        <v>0.507025983586814</v>
      </c>
    </row>
    <row r="102" ht="19" customHeight="1" spans="1:14">
      <c r="A102" s="14" t="s">
        <v>159</v>
      </c>
      <c r="B102" s="14">
        <v>181000.08032431</v>
      </c>
      <c r="C102" s="14">
        <v>30731.1355455663</v>
      </c>
      <c r="D102" s="14" t="e">
        <f>VLOOKUP(A102,'2025数据'!B:D,5,0)+VLOOKUP(A102,'2025数据'!B:E,6,0)+VLOOKUP(A102,'2025数据'!B:O,17,0)</f>
        <v>#N/A</v>
      </c>
      <c r="E102" s="15" t="e">
        <f t="shared" si="17"/>
        <v>#N/A</v>
      </c>
      <c r="F102" s="14">
        <v>32425.1154867199</v>
      </c>
      <c r="G102" s="14" t="e">
        <f>VLOOKUP(A102,'2025数据'!B:O,18,0)+VLOOKUP(A102,'2025数据'!B:O,19,0)+VLOOKUP(A102,'2025数据'!B:O,20,0)</f>
        <v>#N/A</v>
      </c>
      <c r="H102" s="7" t="e">
        <f t="shared" si="18"/>
        <v>#N/A</v>
      </c>
      <c r="I102" s="14">
        <v>47246.7743805252</v>
      </c>
      <c r="J102" s="14">
        <v>70597.0549114986</v>
      </c>
      <c r="K102" s="8">
        <f t="shared" si="19"/>
        <v>0.169785203909873</v>
      </c>
      <c r="L102" s="8">
        <f t="shared" si="20"/>
        <v>0.179144204956272</v>
      </c>
      <c r="M102" s="8">
        <f t="shared" si="21"/>
        <v>0.261031786813962</v>
      </c>
      <c r="N102" s="8">
        <f t="shared" si="22"/>
        <v>0.390038804319894</v>
      </c>
    </row>
    <row r="103" ht="19" customHeight="1" spans="1:14">
      <c r="A103" s="14" t="s">
        <v>104</v>
      </c>
      <c r="B103" s="14">
        <v>65000</v>
      </c>
      <c r="C103" s="14">
        <v>14142.3879476106</v>
      </c>
      <c r="D103" s="14" t="e">
        <f>VLOOKUP(A103,'2025数据'!B:D,5,0)+VLOOKUP(A103,'2025数据'!B:E,6,0)+VLOOKUP(A103,'2025数据'!B:O,17,0)</f>
        <v>#REF!</v>
      </c>
      <c r="E103" s="15" t="e">
        <f t="shared" si="17"/>
        <v>#REF!</v>
      </c>
      <c r="F103" s="14">
        <v>13381.5112389381</v>
      </c>
      <c r="G103" s="14" t="e">
        <f>VLOOKUP(A103,'2025数据'!B:O,18,0)+VLOOKUP(A103,'2025数据'!B:O,19,0)+VLOOKUP(A103,'2025数据'!B:O,20,0)</f>
        <v>#REF!</v>
      </c>
      <c r="H103" s="7" t="e">
        <f t="shared" si="18"/>
        <v>#REF!</v>
      </c>
      <c r="I103" s="14">
        <v>15767.5827697345</v>
      </c>
      <c r="J103" s="14">
        <v>21708.5180437168</v>
      </c>
      <c r="K103" s="8">
        <f t="shared" si="19"/>
        <v>0.217575199194009</v>
      </c>
      <c r="L103" s="8">
        <f t="shared" si="20"/>
        <v>0.205869403675971</v>
      </c>
      <c r="M103" s="8">
        <f t="shared" si="21"/>
        <v>0.242578196457454</v>
      </c>
      <c r="N103" s="8">
        <f t="shared" si="22"/>
        <v>0.333977200672566</v>
      </c>
    </row>
    <row r="104" ht="19" customHeight="1" spans="1:14">
      <c r="A104" s="14" t="s">
        <v>105</v>
      </c>
      <c r="B104" s="14">
        <v>11009.474159292</v>
      </c>
      <c r="C104" s="14">
        <v>1348.00362831858</v>
      </c>
      <c r="D104" s="14" t="e">
        <f>VLOOKUP(A104,'2025数据'!B:D,5,0)+VLOOKUP(A104,'2025数据'!B:E,6,0)+VLOOKUP(A104,'2025数据'!B:O,17,0)</f>
        <v>#REF!</v>
      </c>
      <c r="E104" s="15" t="e">
        <f t="shared" si="17"/>
        <v>#REF!</v>
      </c>
      <c r="F104" s="14">
        <v>2265.29203539822</v>
      </c>
      <c r="G104" s="14" t="e">
        <f>VLOOKUP(A104,'2025数据'!B:O,18,0)+VLOOKUP(A104,'2025数据'!B:O,19,0)+VLOOKUP(A104,'2025数据'!B:O,20,0)</f>
        <v>#REF!</v>
      </c>
      <c r="H104" s="7" t="e">
        <f t="shared" si="18"/>
        <v>#REF!</v>
      </c>
      <c r="I104" s="14">
        <v>3397.93805309733</v>
      </c>
      <c r="J104" s="14">
        <v>3998.24044247786</v>
      </c>
      <c r="K104" s="8">
        <f t="shared" si="19"/>
        <v>0.122440328104214</v>
      </c>
      <c r="L104" s="8">
        <f t="shared" si="20"/>
        <v>0.205758422484357</v>
      </c>
      <c r="M104" s="8">
        <f t="shared" si="21"/>
        <v>0.308637633726536</v>
      </c>
      <c r="N104" s="8">
        <f t="shared" si="22"/>
        <v>0.363163615684891</v>
      </c>
    </row>
    <row r="105" ht="19" customHeight="1" spans="1:14">
      <c r="A105" s="22" t="s">
        <v>107</v>
      </c>
      <c r="B105" s="13">
        <f t="shared" ref="B105:J105" si="23">SUM(B98:B104)</f>
        <v>437033.719483602</v>
      </c>
      <c r="C105" s="13">
        <f t="shared" si="23"/>
        <v>75303.8461214955</v>
      </c>
      <c r="D105" s="13" t="e">
        <f t="shared" si="23"/>
        <v>#REF!</v>
      </c>
      <c r="E105" s="13" t="e">
        <f t="shared" si="23"/>
        <v>#REF!</v>
      </c>
      <c r="F105" s="13">
        <f t="shared" si="23"/>
        <v>90280.6747610562</v>
      </c>
      <c r="G105" s="13" t="e">
        <f t="shared" si="23"/>
        <v>#REF!</v>
      </c>
      <c r="H105" s="10" t="e">
        <f t="shared" si="23"/>
        <v>#REF!</v>
      </c>
      <c r="I105" s="13">
        <f t="shared" si="23"/>
        <v>123463.615203357</v>
      </c>
      <c r="J105" s="13">
        <f t="shared" si="23"/>
        <v>147985.583397693</v>
      </c>
      <c r="K105" s="11">
        <f t="shared" si="19"/>
        <v>0.172306718599366</v>
      </c>
      <c r="L105" s="11">
        <f t="shared" si="20"/>
        <v>0.206575993421587</v>
      </c>
      <c r="M105" s="11">
        <f t="shared" si="21"/>
        <v>0.282503636902986</v>
      </c>
      <c r="N105" s="11">
        <f t="shared" si="22"/>
        <v>0.33861365107606</v>
      </c>
    </row>
  </sheetData>
  <mergeCells count="13">
    <mergeCell ref="A2:A3"/>
    <mergeCell ref="A13:A14"/>
    <mergeCell ref="C2:C3"/>
    <mergeCell ref="E13:E14"/>
    <mergeCell ref="E47:E48"/>
    <mergeCell ref="E60:E61"/>
    <mergeCell ref="E96:E97"/>
    <mergeCell ref="F2:F3"/>
    <mergeCell ref="H13:H14"/>
    <mergeCell ref="H47:H48"/>
    <mergeCell ref="H60:H61"/>
    <mergeCell ref="H96:H97"/>
    <mergeCell ref="I2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2025数据</vt:lpstr>
      <vt:lpstr>Sheet2</vt:lpstr>
      <vt:lpstr>Sheet3</vt:lpstr>
      <vt:lpstr>与年度目标对比</vt:lpstr>
      <vt:lpstr>与年度目标对比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Cindy</cp:lastModifiedBy>
  <dcterms:created xsi:type="dcterms:W3CDTF">2025-12-03T10:40:00Z</dcterms:created>
  <dcterms:modified xsi:type="dcterms:W3CDTF">2026-02-07T04:39:38Z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D468DC8A2FE6406A996801A38CC66777_13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