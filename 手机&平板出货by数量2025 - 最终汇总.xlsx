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455"/>
  </bookViews>
  <sheets>
    <sheet name="手机&amp;平板保底版销售计划数量VS 实际出货" sheetId="8" r:id="rId1"/>
    <sheet name="数量汇总" sheetId="2" r:id="rId2"/>
    <sheet name="目标完成" sheetId="3" state="hidden" r:id="rId3"/>
  </sheets>
  <definedNames>
    <definedName name="_xlnm._FilterDatabase" localSheetId="0" hidden="1">'手机&amp;平板保底版销售计划数量VS 实际出货'!$A$4:$F$112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<sst xmlns="http://schemas.openxmlformats.org/spreadsheetml/2006/main" count="701" uniqueCount="308">
  <si>
    <t>客户</t>
  </si>
  <si>
    <t>项目名</t>
  </si>
  <si>
    <t>市场型号</t>
  </si>
  <si>
    <t>订单
类型</t>
  </si>
  <si>
    <t>产品
类型</t>
  </si>
  <si>
    <t>剩余订单
(校验公式)</t>
  </si>
  <si>
    <t>1月分解</t>
  </si>
  <si>
    <t>1月实际</t>
  </si>
  <si>
    <t>2月分解</t>
  </si>
  <si>
    <t>2月实际</t>
  </si>
  <si>
    <t>3月分解</t>
  </si>
  <si>
    <t>3月实际</t>
  </si>
  <si>
    <t>4月分解</t>
  </si>
  <si>
    <t>4月实际</t>
  </si>
  <si>
    <t>5月分解</t>
  </si>
  <si>
    <t>5月实际</t>
  </si>
  <si>
    <t>6月分解</t>
  </si>
  <si>
    <t>6月实际</t>
  </si>
  <si>
    <t>7月分解</t>
  </si>
  <si>
    <t>7月实际</t>
  </si>
  <si>
    <t>8月分解</t>
  </si>
  <si>
    <t>8月实际</t>
  </si>
  <si>
    <t>9月分解</t>
  </si>
  <si>
    <t>9月实际</t>
  </si>
  <si>
    <t>10月分解</t>
  </si>
  <si>
    <t>10月实际</t>
  </si>
  <si>
    <t>11月分解</t>
  </si>
  <si>
    <t>11月实际</t>
  </si>
  <si>
    <t>12月分解</t>
  </si>
  <si>
    <t>12月实际</t>
  </si>
  <si>
    <t>全年分解</t>
  </si>
  <si>
    <t>全年实际</t>
  </si>
  <si>
    <t>小计</t>
  </si>
  <si>
    <t>总计</t>
  </si>
  <si>
    <t>数量</t>
  </si>
  <si>
    <t>LAVA</t>
  </si>
  <si>
    <t>E6726LV-4GB</t>
  </si>
  <si>
    <t>Z33</t>
  </si>
  <si>
    <t>CKD</t>
  </si>
  <si>
    <t>SP</t>
  </si>
  <si>
    <t>E6759LV</t>
  </si>
  <si>
    <t>E6726LV-3GB</t>
  </si>
  <si>
    <t>Yuva 3 pro</t>
  </si>
  <si>
    <t>E6727</t>
  </si>
  <si>
    <t xml:space="preserve">Yuva Smart 2 </t>
  </si>
  <si>
    <t>E6728LV</t>
  </si>
  <si>
    <t>Yuva 4 pro 5G</t>
  </si>
  <si>
    <t>E6700LV</t>
  </si>
  <si>
    <t>Z34</t>
  </si>
  <si>
    <t>迭代</t>
  </si>
  <si>
    <t>E6570LV</t>
  </si>
  <si>
    <t>LAVA小计</t>
  </si>
  <si>
    <t>SM</t>
  </si>
  <si>
    <t>E6810SM</t>
  </si>
  <si>
    <t>SKD</t>
  </si>
  <si>
    <t>E6810SM-128GB</t>
  </si>
  <si>
    <t>E6726SM</t>
  </si>
  <si>
    <t>SM小计</t>
  </si>
  <si>
    <t>HMD</t>
  </si>
  <si>
    <t>E1885N-31E</t>
  </si>
  <si>
    <t>Crazy 5</t>
  </si>
  <si>
    <t>FP</t>
  </si>
  <si>
    <t>E1889/1890</t>
  </si>
  <si>
    <t>LedaS</t>
  </si>
  <si>
    <t>E2001H</t>
  </si>
  <si>
    <t>VOX</t>
  </si>
  <si>
    <t>E2447</t>
  </si>
  <si>
    <t>Frodo</t>
  </si>
  <si>
    <t>P2000</t>
  </si>
  <si>
    <t>Leia</t>
  </si>
  <si>
    <t>HMD小计</t>
  </si>
  <si>
    <t>BLU</t>
  </si>
  <si>
    <t>PD6703TF</t>
  </si>
  <si>
    <t>B170D</t>
  </si>
  <si>
    <t>CBU</t>
  </si>
  <si>
    <t>E6726BL</t>
  </si>
  <si>
    <t>K5</t>
  </si>
  <si>
    <t>E6733BL</t>
  </si>
  <si>
    <t>K20</t>
  </si>
  <si>
    <t>E6730BL</t>
  </si>
  <si>
    <t>K30</t>
  </si>
  <si>
    <t>E6810</t>
  </si>
  <si>
    <t>BLU小计</t>
  </si>
  <si>
    <t>LF</t>
  </si>
  <si>
    <t>E6726LF</t>
  </si>
  <si>
    <t>HERO</t>
  </si>
  <si>
    <t xml:space="preserve">CBU </t>
  </si>
  <si>
    <t>E6733LF</t>
  </si>
  <si>
    <t>IDOL</t>
  </si>
  <si>
    <t>E6730LF</t>
  </si>
  <si>
    <t>STAR</t>
  </si>
  <si>
    <t>E6707LF</t>
  </si>
  <si>
    <t>VISION</t>
  </si>
  <si>
    <t>E6810LF</t>
  </si>
  <si>
    <t>SIMPLE</t>
  </si>
  <si>
    <t>LF小计</t>
  </si>
  <si>
    <t>Mobicel</t>
  </si>
  <si>
    <t>E5042MBC</t>
  </si>
  <si>
    <t>F51</t>
  </si>
  <si>
    <t>E6731MBC</t>
  </si>
  <si>
    <t>X7</t>
  </si>
  <si>
    <t>Mobicel小计</t>
  </si>
  <si>
    <t>XM</t>
  </si>
  <si>
    <t>E6707XM</t>
  </si>
  <si>
    <t>Ultra 8</t>
  </si>
  <si>
    <t>E6707XM Pro</t>
  </si>
  <si>
    <t>Ultra 8 Pro</t>
  </si>
  <si>
    <t>E6721</t>
  </si>
  <si>
    <t>Neo 8i</t>
  </si>
  <si>
    <t>E6721Pro</t>
  </si>
  <si>
    <t>Neo 9i</t>
  </si>
  <si>
    <t>E6731</t>
  </si>
  <si>
    <t>Neo 8lite</t>
  </si>
  <si>
    <t>E6728</t>
  </si>
  <si>
    <t>E6730</t>
  </si>
  <si>
    <t>E675AXM</t>
  </si>
  <si>
    <t xml:space="preserve">TBD </t>
  </si>
  <si>
    <t>XM小计</t>
  </si>
  <si>
    <t>ZTE</t>
  </si>
  <si>
    <t>E6706ZTE</t>
  </si>
  <si>
    <t>V60</t>
  </si>
  <si>
    <t>E6718ZTE</t>
  </si>
  <si>
    <t xml:space="preserve">A55 </t>
  </si>
  <si>
    <t>E6725ZTE</t>
  </si>
  <si>
    <t>A35</t>
  </si>
  <si>
    <t>E6728ZTE</t>
  </si>
  <si>
    <t>V70D</t>
  </si>
  <si>
    <t>E6730ZTE</t>
  </si>
  <si>
    <t>V70</t>
  </si>
  <si>
    <t>E6739ZC</t>
  </si>
  <si>
    <t>A36</t>
  </si>
  <si>
    <t>E6750ZC</t>
  </si>
  <si>
    <t>A56</t>
  </si>
  <si>
    <t>E6757ZC</t>
  </si>
  <si>
    <t>A76</t>
  </si>
  <si>
    <t>ZTE小计</t>
  </si>
  <si>
    <t>ZYB</t>
  </si>
  <si>
    <t>PD1205</t>
  </si>
  <si>
    <t>T30A</t>
  </si>
  <si>
    <t>PAD</t>
  </si>
  <si>
    <t>PD1207</t>
  </si>
  <si>
    <t>T30B</t>
  </si>
  <si>
    <t>PD1211</t>
  </si>
  <si>
    <t>Leto</t>
  </si>
  <si>
    <t>PD1302</t>
  </si>
  <si>
    <t>Alice</t>
  </si>
  <si>
    <t>PD1403</t>
  </si>
  <si>
    <t>Apollo</t>
  </si>
  <si>
    <t>ZYB小计</t>
  </si>
  <si>
    <t>Xiaodu</t>
  </si>
  <si>
    <t>PD1102BD</t>
  </si>
  <si>
    <t>XD-SDB21-2301</t>
  </si>
  <si>
    <t>PD1206BD</t>
  </si>
  <si>
    <t>银杏</t>
  </si>
  <si>
    <t>PD1405BD</t>
  </si>
  <si>
    <t>云杉</t>
  </si>
  <si>
    <t>PD1208BD</t>
  </si>
  <si>
    <t>Xiaodu小计</t>
  </si>
  <si>
    <t>GDL</t>
  </si>
  <si>
    <t>E6728GDL</t>
  </si>
  <si>
    <t>E6726GDL</t>
  </si>
  <si>
    <t>AI</t>
  </si>
  <si>
    <t>E6758AI/675AI</t>
  </si>
  <si>
    <t>Pulse1</t>
  </si>
  <si>
    <t>E6701AI</t>
  </si>
  <si>
    <t>Nova 1</t>
  </si>
  <si>
    <t>GV</t>
  </si>
  <si>
    <t>E6810GV</t>
  </si>
  <si>
    <t>V20</t>
  </si>
  <si>
    <t>E6731GV</t>
  </si>
  <si>
    <t>E10</t>
  </si>
  <si>
    <t>SK</t>
  </si>
  <si>
    <t>E6810SK</t>
  </si>
  <si>
    <t>EZ2</t>
  </si>
  <si>
    <t>ST</t>
  </si>
  <si>
    <t>E6726ST</t>
  </si>
  <si>
    <t xml:space="preserve"> </t>
  </si>
  <si>
    <t>VGT</t>
  </si>
  <si>
    <t>E6726VGT</t>
  </si>
  <si>
    <t>E675AVGT</t>
  </si>
  <si>
    <t>ET</t>
  </si>
  <si>
    <t>E6767ET</t>
  </si>
  <si>
    <t>Doro</t>
  </si>
  <si>
    <t>B2442DR</t>
  </si>
  <si>
    <t>Assr</t>
  </si>
  <si>
    <t>P2001ASR</t>
  </si>
  <si>
    <t>Wiko</t>
  </si>
  <si>
    <t>E6733</t>
  </si>
  <si>
    <t>后续产品</t>
  </si>
  <si>
    <r>
      <rPr>
        <sz val="9"/>
        <color theme="1"/>
        <rFont val="宋体-简"/>
        <charset val="134"/>
      </rPr>
      <t>新客户</t>
    </r>
    <r>
      <rPr>
        <sz val="9"/>
        <color theme="1"/>
        <rFont val="Arial"/>
        <charset val="134"/>
      </rPr>
      <t>-Sherman</t>
    </r>
  </si>
  <si>
    <t>手机</t>
  </si>
  <si>
    <r>
      <rPr>
        <sz val="9"/>
        <color theme="1"/>
        <rFont val="宋体-简"/>
        <charset val="134"/>
      </rPr>
      <t>日本</t>
    </r>
    <r>
      <rPr>
        <sz val="9"/>
        <color theme="1"/>
        <rFont val="Arial"/>
        <charset val="134"/>
      </rPr>
      <t>MNVO</t>
    </r>
  </si>
  <si>
    <t>平板</t>
  </si>
  <si>
    <t>IoT</t>
  </si>
  <si>
    <t>AIOT</t>
  </si>
  <si>
    <t>YTF</t>
  </si>
  <si>
    <t>E6733YTF</t>
  </si>
  <si>
    <t>V35</t>
  </si>
  <si>
    <t>E6810YTF</t>
  </si>
  <si>
    <t>V30</t>
  </si>
  <si>
    <t>E6766YTF</t>
  </si>
  <si>
    <t>T15</t>
  </si>
  <si>
    <t>MC</t>
  </si>
  <si>
    <t>E6726MC</t>
  </si>
  <si>
    <t>S7</t>
  </si>
  <si>
    <t>E6733MC</t>
  </si>
  <si>
    <t>S9</t>
  </si>
  <si>
    <t>E6810MC</t>
  </si>
  <si>
    <t>TBD</t>
  </si>
  <si>
    <t>LT</t>
  </si>
  <si>
    <t>E6707</t>
  </si>
  <si>
    <t>6707LT</t>
  </si>
  <si>
    <t>腾讯</t>
  </si>
  <si>
    <t>PD5501TX</t>
  </si>
  <si>
    <t>巨鼎</t>
  </si>
  <si>
    <t>P8012JD</t>
  </si>
  <si>
    <t>德卡</t>
  </si>
  <si>
    <t>P8015DK</t>
  </si>
  <si>
    <t>KK</t>
  </si>
  <si>
    <t>PD1210</t>
  </si>
  <si>
    <t>Y41S</t>
  </si>
  <si>
    <t>TP</t>
  </si>
  <si>
    <t>E1892</t>
  </si>
  <si>
    <t>LIME</t>
  </si>
  <si>
    <t>E2008</t>
  </si>
  <si>
    <t>ARC</t>
  </si>
  <si>
    <t>E2449</t>
  </si>
  <si>
    <t>/</t>
  </si>
  <si>
    <t>E6751</t>
  </si>
  <si>
    <t>E6726</t>
  </si>
  <si>
    <t>TAL</t>
  </si>
  <si>
    <t>恒山</t>
  </si>
  <si>
    <t>国会山</t>
  </si>
  <si>
    <t>其他小计</t>
  </si>
  <si>
    <t>2025年</t>
  </si>
  <si>
    <t>全年分解目标</t>
  </si>
  <si>
    <t>全年已完成</t>
  </si>
  <si>
    <t>汇总</t>
  </si>
  <si>
    <t>功能机与智能机分布：</t>
  </si>
  <si>
    <t>CBU,SKD与CKD分布：</t>
  </si>
  <si>
    <t>Type</t>
  </si>
  <si>
    <r>
      <rPr>
        <b/>
        <sz val="10"/>
        <color theme="1"/>
        <rFont val="Arial"/>
        <charset val="134"/>
      </rPr>
      <t>1</t>
    </r>
    <r>
      <rPr>
        <b/>
        <sz val="10"/>
        <color theme="1"/>
        <rFont val="微软雅黑"/>
        <charset val="134"/>
      </rPr>
      <t>月分解</t>
    </r>
  </si>
  <si>
    <r>
      <rPr>
        <b/>
        <sz val="10"/>
        <color theme="1"/>
        <rFont val="Arial"/>
        <charset val="134"/>
      </rPr>
      <t>1</t>
    </r>
    <r>
      <rPr>
        <b/>
        <sz val="10"/>
        <color theme="1"/>
        <rFont val="宋体"/>
        <charset val="134"/>
      </rPr>
      <t>月实际</t>
    </r>
  </si>
  <si>
    <r>
      <rPr>
        <b/>
        <sz val="10"/>
        <color theme="1"/>
        <rFont val="Arial"/>
        <charset val="134"/>
      </rPr>
      <t>2</t>
    </r>
    <r>
      <rPr>
        <b/>
        <sz val="10"/>
        <color theme="1"/>
        <rFont val="微软雅黑"/>
        <charset val="134"/>
      </rPr>
      <t>月分解</t>
    </r>
  </si>
  <si>
    <r>
      <rPr>
        <b/>
        <sz val="10"/>
        <color theme="1"/>
        <rFont val="Arial"/>
        <charset val="134"/>
      </rPr>
      <t>2</t>
    </r>
    <r>
      <rPr>
        <b/>
        <sz val="10"/>
        <color theme="1"/>
        <rFont val="宋体"/>
        <charset val="134"/>
      </rPr>
      <t>月实际</t>
    </r>
  </si>
  <si>
    <r>
      <rPr>
        <b/>
        <sz val="10"/>
        <color theme="1"/>
        <rFont val="Arial"/>
        <charset val="134"/>
      </rPr>
      <t>3</t>
    </r>
    <r>
      <rPr>
        <b/>
        <sz val="10"/>
        <color theme="1"/>
        <rFont val="微软雅黑"/>
        <charset val="134"/>
      </rPr>
      <t>月分解</t>
    </r>
  </si>
  <si>
    <r>
      <rPr>
        <b/>
        <sz val="10"/>
        <color theme="1"/>
        <rFont val="Arial"/>
        <charset val="134"/>
      </rPr>
      <t>3</t>
    </r>
    <r>
      <rPr>
        <b/>
        <sz val="10"/>
        <color theme="1"/>
        <rFont val="宋体"/>
        <charset val="134"/>
      </rPr>
      <t>月实际</t>
    </r>
  </si>
  <si>
    <r>
      <rPr>
        <b/>
        <sz val="10"/>
        <color theme="1"/>
        <rFont val="Arial"/>
        <charset val="134"/>
      </rPr>
      <t>4</t>
    </r>
    <r>
      <rPr>
        <b/>
        <sz val="10"/>
        <color theme="1"/>
        <rFont val="微软雅黑"/>
        <charset val="134"/>
      </rPr>
      <t>月分解</t>
    </r>
  </si>
  <si>
    <r>
      <rPr>
        <b/>
        <sz val="10"/>
        <color theme="1"/>
        <rFont val="Arial"/>
        <charset val="134"/>
      </rPr>
      <t>4</t>
    </r>
    <r>
      <rPr>
        <b/>
        <sz val="10"/>
        <color theme="1"/>
        <rFont val="宋体"/>
        <charset val="134"/>
      </rPr>
      <t>月实际</t>
    </r>
  </si>
  <si>
    <r>
      <rPr>
        <b/>
        <sz val="10"/>
        <color theme="1"/>
        <rFont val="Arial"/>
        <charset val="134"/>
      </rPr>
      <t>5月分解</t>
    </r>
  </si>
  <si>
    <r>
      <rPr>
        <b/>
        <sz val="10"/>
        <color theme="1"/>
        <rFont val="Arial"/>
        <charset val="134"/>
      </rPr>
      <t>5月实际</t>
    </r>
  </si>
  <si>
    <r>
      <rPr>
        <b/>
        <sz val="10"/>
        <color theme="1"/>
        <rFont val="Arial"/>
        <charset val="134"/>
      </rPr>
      <t>6月分解</t>
    </r>
  </si>
  <si>
    <r>
      <rPr>
        <b/>
        <sz val="10"/>
        <color theme="1"/>
        <rFont val="Arial"/>
        <charset val="134"/>
      </rPr>
      <t>6月实际</t>
    </r>
  </si>
  <si>
    <r>
      <rPr>
        <b/>
        <sz val="10"/>
        <color theme="1"/>
        <rFont val="Arial"/>
        <charset val="134"/>
      </rPr>
      <t>7月分解</t>
    </r>
  </si>
  <si>
    <r>
      <rPr>
        <b/>
        <sz val="10"/>
        <color theme="1"/>
        <rFont val="Arial"/>
        <charset val="134"/>
      </rPr>
      <t>7月实际</t>
    </r>
  </si>
  <si>
    <r>
      <rPr>
        <b/>
        <sz val="10"/>
        <color theme="1"/>
        <rFont val="Arial"/>
        <charset val="134"/>
      </rPr>
      <t>8月分解</t>
    </r>
  </si>
  <si>
    <r>
      <rPr>
        <b/>
        <sz val="10"/>
        <color theme="1"/>
        <rFont val="Arial"/>
        <charset val="134"/>
      </rPr>
      <t>8月实际</t>
    </r>
  </si>
  <si>
    <r>
      <rPr>
        <b/>
        <sz val="10"/>
        <color theme="1"/>
        <rFont val="Arial"/>
        <charset val="134"/>
      </rPr>
      <t>9月分解</t>
    </r>
  </si>
  <si>
    <r>
      <rPr>
        <b/>
        <sz val="10"/>
        <color theme="1"/>
        <rFont val="Arial"/>
        <charset val="134"/>
      </rPr>
      <t>9月实际</t>
    </r>
  </si>
  <si>
    <r>
      <rPr>
        <b/>
        <sz val="10"/>
        <color theme="1"/>
        <rFont val="Arial"/>
        <charset val="134"/>
      </rPr>
      <t>10月分解</t>
    </r>
  </si>
  <si>
    <r>
      <rPr>
        <b/>
        <sz val="10"/>
        <color theme="1"/>
        <rFont val="Arial"/>
        <charset val="134"/>
      </rPr>
      <t>10月实际</t>
    </r>
  </si>
  <si>
    <r>
      <rPr>
        <b/>
        <sz val="10"/>
        <color theme="1"/>
        <rFont val="Arial"/>
        <charset val="134"/>
      </rPr>
      <t>11月分解</t>
    </r>
  </si>
  <si>
    <r>
      <rPr>
        <b/>
        <sz val="10"/>
        <color theme="1"/>
        <rFont val="Arial"/>
        <charset val="134"/>
      </rPr>
      <t>11月实际</t>
    </r>
  </si>
  <si>
    <r>
      <rPr>
        <b/>
        <sz val="10"/>
        <color theme="1"/>
        <rFont val="Arial"/>
        <charset val="134"/>
      </rPr>
      <t>12月分解</t>
    </r>
  </si>
  <si>
    <r>
      <rPr>
        <b/>
        <sz val="10"/>
        <color theme="1"/>
        <rFont val="Arial"/>
        <charset val="134"/>
      </rPr>
      <t>12月实际</t>
    </r>
  </si>
  <si>
    <r>
      <rPr>
        <b/>
        <sz val="10"/>
        <color theme="1"/>
        <rFont val="Arial"/>
        <charset val="134"/>
      </rPr>
      <t>1</t>
    </r>
    <r>
      <rPr>
        <b/>
        <sz val="10"/>
        <color theme="1"/>
        <rFont val="微软雅黑"/>
        <charset val="134"/>
      </rPr>
      <t>月</t>
    </r>
  </si>
  <si>
    <r>
      <rPr>
        <b/>
        <sz val="10"/>
        <color theme="1"/>
        <rFont val="Arial"/>
        <charset val="134"/>
      </rPr>
      <t>2</t>
    </r>
    <r>
      <rPr>
        <b/>
        <sz val="10"/>
        <color theme="1"/>
        <rFont val="微软雅黑"/>
        <charset val="134"/>
      </rPr>
      <t>月</t>
    </r>
  </si>
  <si>
    <r>
      <rPr>
        <b/>
        <sz val="10"/>
        <color theme="1"/>
        <rFont val="Arial"/>
        <charset val="134"/>
      </rPr>
      <t>3</t>
    </r>
    <r>
      <rPr>
        <b/>
        <sz val="10"/>
        <color theme="1"/>
        <rFont val="微软雅黑"/>
        <charset val="134"/>
      </rPr>
      <t>月</t>
    </r>
  </si>
  <si>
    <r>
      <rPr>
        <b/>
        <sz val="10"/>
        <color theme="1"/>
        <rFont val="Arial"/>
        <charset val="134"/>
      </rPr>
      <t>4</t>
    </r>
    <r>
      <rPr>
        <b/>
        <sz val="10"/>
        <color theme="1"/>
        <rFont val="微软雅黑"/>
        <charset val="134"/>
      </rPr>
      <t>月</t>
    </r>
  </si>
  <si>
    <r>
      <rPr>
        <b/>
        <sz val="10"/>
        <color theme="1"/>
        <rFont val="Arial"/>
        <charset val="134"/>
      </rPr>
      <t>5</t>
    </r>
    <r>
      <rPr>
        <b/>
        <sz val="10"/>
        <color theme="1"/>
        <rFont val="微软雅黑"/>
        <charset val="134"/>
      </rPr>
      <t>月</t>
    </r>
  </si>
  <si>
    <r>
      <rPr>
        <b/>
        <sz val="10"/>
        <color theme="1"/>
        <rFont val="Arial"/>
        <charset val="134"/>
      </rPr>
      <t>6</t>
    </r>
    <r>
      <rPr>
        <b/>
        <sz val="10"/>
        <color theme="1"/>
        <rFont val="微软雅黑"/>
        <charset val="134"/>
      </rPr>
      <t>月</t>
    </r>
  </si>
  <si>
    <r>
      <rPr>
        <b/>
        <sz val="10"/>
        <color theme="1"/>
        <rFont val="Arial"/>
        <charset val="134"/>
      </rPr>
      <t>7</t>
    </r>
    <r>
      <rPr>
        <b/>
        <sz val="10"/>
        <color theme="1"/>
        <rFont val="微软雅黑"/>
        <charset val="134"/>
      </rPr>
      <t>月</t>
    </r>
  </si>
  <si>
    <r>
      <rPr>
        <b/>
        <sz val="10"/>
        <color theme="1"/>
        <rFont val="Arial"/>
        <charset val="134"/>
      </rPr>
      <t>8</t>
    </r>
    <r>
      <rPr>
        <b/>
        <sz val="10"/>
        <color theme="1"/>
        <rFont val="微软雅黑"/>
        <charset val="134"/>
      </rPr>
      <t>月</t>
    </r>
  </si>
  <si>
    <r>
      <rPr>
        <b/>
        <sz val="10"/>
        <color theme="1"/>
        <rFont val="Arial"/>
        <charset val="134"/>
      </rPr>
      <t>9</t>
    </r>
    <r>
      <rPr>
        <b/>
        <sz val="10"/>
        <color theme="1"/>
        <rFont val="微软雅黑"/>
        <charset val="134"/>
      </rPr>
      <t>月</t>
    </r>
  </si>
  <si>
    <r>
      <rPr>
        <b/>
        <sz val="10"/>
        <color theme="1"/>
        <rFont val="Arial"/>
        <charset val="134"/>
      </rPr>
      <t>10</t>
    </r>
    <r>
      <rPr>
        <b/>
        <sz val="10"/>
        <color theme="1"/>
        <rFont val="微软雅黑"/>
        <charset val="134"/>
      </rPr>
      <t>月</t>
    </r>
  </si>
  <si>
    <r>
      <rPr>
        <b/>
        <sz val="10"/>
        <color theme="1"/>
        <rFont val="Arial"/>
        <charset val="134"/>
      </rPr>
      <t>11</t>
    </r>
    <r>
      <rPr>
        <b/>
        <sz val="10"/>
        <color theme="1"/>
        <rFont val="微软雅黑"/>
        <charset val="134"/>
      </rPr>
      <t>月</t>
    </r>
  </si>
  <si>
    <r>
      <rPr>
        <b/>
        <sz val="10"/>
        <color theme="1"/>
        <rFont val="Arial"/>
        <charset val="134"/>
      </rPr>
      <t>12</t>
    </r>
    <r>
      <rPr>
        <b/>
        <sz val="10"/>
        <color theme="1"/>
        <rFont val="微软雅黑"/>
        <charset val="134"/>
      </rPr>
      <t>月</t>
    </r>
  </si>
  <si>
    <r>
      <rPr>
        <b/>
        <sz val="10"/>
        <color theme="1"/>
        <rFont val="微软雅黑"/>
        <charset val="134"/>
      </rPr>
      <t>全年</t>
    </r>
  </si>
  <si>
    <t>CBU/FP</t>
  </si>
  <si>
    <t>CBU/SP</t>
  </si>
  <si>
    <t>Total</t>
  </si>
  <si>
    <t>SKD/FP</t>
  </si>
  <si>
    <t>SKD/SP</t>
  </si>
  <si>
    <t>1-10月份</t>
  </si>
  <si>
    <t>10月份</t>
  </si>
  <si>
    <t>1-12月份</t>
  </si>
  <si>
    <t>2021年全年</t>
  </si>
  <si>
    <t>分解目标</t>
  </si>
  <si>
    <t>实际完成</t>
  </si>
  <si>
    <t>差异</t>
  </si>
  <si>
    <t>完成率</t>
  </si>
  <si>
    <t>最新销售计划</t>
  </si>
  <si>
    <t>预计完成率</t>
  </si>
  <si>
    <t>年度目标</t>
  </si>
  <si>
    <t>截至10月底
完成率</t>
  </si>
  <si>
    <t>截至10月底预计完成率</t>
  </si>
  <si>
    <t>Gionee</t>
  </si>
  <si>
    <t>TCL</t>
  </si>
  <si>
    <t>QM</t>
  </si>
  <si>
    <t>Walton</t>
  </si>
  <si>
    <t>MMX</t>
  </si>
  <si>
    <t>Condor</t>
  </si>
  <si>
    <t>VSM</t>
  </si>
  <si>
    <t>备注：</t>
  </si>
  <si>
    <t>1. 单位：人民币, 万元, 换算汇率：6.4；</t>
  </si>
  <si>
    <r>
      <rPr>
        <sz val="10"/>
        <color theme="4" tint="-0.499984740745262"/>
        <rFont val="微软雅黑"/>
        <charset val="134"/>
      </rPr>
      <t>2. 数据口径：未税</t>
    </r>
    <r>
      <rPr>
        <sz val="10"/>
        <color theme="4" tint="-0.499984740745262"/>
        <rFont val="Arial"/>
        <charset val="134"/>
      </rPr>
      <t>/</t>
    </r>
    <r>
      <rPr>
        <sz val="10"/>
        <color theme="4" tint="-0.499984740745262"/>
        <rFont val="微软雅黑"/>
        <charset val="134"/>
      </rPr>
      <t>离厂出货；</t>
    </r>
  </si>
  <si>
    <t>3.目标为18亿版本；</t>
  </si>
  <si>
    <t>4. 实际完成数据来自财务部，目标&amp;计划数据来自销售部。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</si>
</sst>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400]h:mm:ss\ AM/PM"/>
    <numFmt numFmtId="177" formatCode="_-* #,##0\ &quot;€&quot;_-;\-* #,##0\ &quot;€&quot;_-;_-* &quot;-&quot;\ &quot;€&quot;_-;_-@_-"/>
    <numFmt numFmtId="178" formatCode="_-* #,##0.00\ &quot;€&quot;_-;\-* #,##0.00\ &quot;€&quot;_-;_-* &quot;-&quot;??\ &quot;€&quot;_-;_-@_-"/>
    <numFmt numFmtId="179" formatCode="_-* #,##0.00\ &quot;£&quot;_-;\-* #,##0.00\ &quot;£&quot;_-;_-* &quot;-&quot;??\ &quot;£&quot;_-;_-@_-"/>
    <numFmt numFmtId="180" formatCode="_-* #,##0.00\ &quot;$&quot;_-;\-* #,##0.00\ &quot;$&quot;_-;_-* &quot;-&quot;??\ &quot;$&quot;_-;_-@_-"/>
    <numFmt numFmtId="181" formatCode="#,##0\ ;[Red]\-#,##0\ "/>
    <numFmt numFmtId="182" formatCode="_-* #,##0.00\ _€_-;\-* #,##0.00\ _€_-;_-* &quot;-&quot;??\ _€_-;_-@_-"/>
    <numFmt numFmtId="183" formatCode="_-* #,##0\ _€_-;\-* #,##0\ _€_-;_-* &quot;-&quot;\ _€_-;_-@_-"/>
    <numFmt numFmtId="184" formatCode="\ \a\d\d\ \d\im\e\ns\i\o\n"/>
    <numFmt numFmtId="185" formatCode=";;"/>
    <numFmt numFmtId="186" formatCode="#,##0_ "/>
    <numFmt numFmtId="187" formatCode="#,##0_);[Red]\(#,##0\)"/>
    <numFmt numFmtId="188" formatCode="0.00_);[Red]\(0.00\)"/>
    <numFmt numFmtId="189" formatCode="_ * #,##0_ ;_ * \-#,##0_ ;_ * &quot;-&quot;??_ ;_ @_ "/>
    <numFmt numFmtId="190" formatCode="#,##0.00_ "/>
  </numFmts>
  <fonts count="74">
    <font>
      <sz val="11"/>
      <color theme="1"/>
      <name val="宋体"/>
      <charset val="134"/>
      <scheme val="minor"/>
    </font>
    <font>
      <sz val="10"/>
      <color theme="4" tint="-0.499984740745262"/>
      <name val="微软雅黑"/>
      <charset val="134"/>
    </font>
    <font>
      <b/>
      <sz val="10"/>
      <color theme="0"/>
      <name val="微软雅黑"/>
      <charset val="134"/>
    </font>
    <font>
      <sz val="10"/>
      <color theme="1"/>
      <name val="Arial"/>
      <charset val="134"/>
    </font>
    <font>
      <b/>
      <sz val="10"/>
      <color theme="1"/>
      <name val="微软雅黑"/>
      <charset val="134"/>
    </font>
    <font>
      <b/>
      <sz val="10"/>
      <color theme="1"/>
      <name val="Arial"/>
      <charset val="134"/>
    </font>
    <font>
      <b/>
      <sz val="10"/>
      <name val="Arial"/>
      <charset val="134"/>
    </font>
    <font>
      <b/>
      <sz val="10"/>
      <color rgb="FFFF0000"/>
      <name val="Arial"/>
      <charset val="134"/>
    </font>
    <font>
      <sz val="10"/>
      <name val="Arial"/>
      <charset val="134"/>
    </font>
    <font>
      <sz val="10"/>
      <color rgb="FFFF0000"/>
      <name val="Arial"/>
      <charset val="134"/>
    </font>
    <font>
      <sz val="11"/>
      <color theme="4" tint="-0.499984740745262"/>
      <name val="宋体"/>
      <charset val="134"/>
      <scheme val="minor"/>
    </font>
    <font>
      <sz val="10"/>
      <color rgb="FFFF0000"/>
      <name val="微软雅黑"/>
      <charset val="134"/>
    </font>
    <font>
      <sz val="11"/>
      <color theme="1"/>
      <name val="Arial"/>
      <charset val="134"/>
    </font>
    <font>
      <b/>
      <sz val="11"/>
      <color theme="1"/>
      <name val="微软雅黑"/>
      <charset val="134"/>
    </font>
    <font>
      <b/>
      <sz val="11"/>
      <color theme="1"/>
      <name val="Arial"/>
      <charset val="134"/>
    </font>
    <font>
      <sz val="10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9"/>
      <color theme="1"/>
      <name val="微软雅黑"/>
      <charset val="134"/>
    </font>
    <font>
      <sz val="9"/>
      <color theme="1"/>
      <name val="Arial"/>
      <charset val="134"/>
    </font>
    <font>
      <sz val="9"/>
      <color theme="1"/>
      <name val="微软雅黑"/>
      <charset val="134"/>
    </font>
    <font>
      <sz val="9"/>
      <color theme="1"/>
      <name val="宋体"/>
      <charset val="134"/>
    </font>
    <font>
      <b/>
      <sz val="9"/>
      <name val="微软雅黑"/>
      <charset val="134"/>
    </font>
    <font>
      <sz val="9"/>
      <name val="微软雅黑"/>
      <charset val="134"/>
    </font>
    <font>
      <sz val="9"/>
      <name val="Arial"/>
      <charset val="134"/>
    </font>
    <font>
      <sz val="9"/>
      <name val="宋体"/>
      <charset val="134"/>
    </font>
    <font>
      <sz val="9"/>
      <color theme="1"/>
      <name val="宋体-简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  <font>
      <sz val="7"/>
      <color indexed="47"/>
      <name val="Webdings"/>
      <charset val="2"/>
    </font>
    <font>
      <b/>
      <sz val="9"/>
      <color indexed="12"/>
      <name val="Arial"/>
      <charset val="134"/>
    </font>
    <font>
      <b/>
      <sz val="9"/>
      <color indexed="58"/>
      <name val="Arial"/>
      <charset val="134"/>
    </font>
    <font>
      <sz val="9"/>
      <color indexed="59"/>
      <name val="Arial"/>
      <charset val="134"/>
    </font>
    <font>
      <sz val="9"/>
      <color indexed="8"/>
      <name val="Arial"/>
      <charset val="134"/>
    </font>
    <font>
      <u/>
      <sz val="9"/>
      <color indexed="12"/>
      <name val="Arial"/>
      <charset val="134"/>
    </font>
    <font>
      <b/>
      <sz val="9"/>
      <color indexed="63"/>
      <name val="Arial"/>
      <charset val="134"/>
    </font>
    <font>
      <sz val="10"/>
      <color indexed="59"/>
      <name val="Arial"/>
      <charset val="134"/>
    </font>
    <font>
      <sz val="9"/>
      <color indexed="17"/>
      <name val="Arial"/>
      <charset val="134"/>
    </font>
    <font>
      <sz val="8"/>
      <color indexed="56"/>
      <name val="Arial"/>
      <charset val="134"/>
    </font>
    <font>
      <sz val="10"/>
      <color indexed="8"/>
      <name val="Arial"/>
      <charset val="134"/>
    </font>
    <font>
      <b/>
      <sz val="10"/>
      <color indexed="56"/>
      <name val="Arial"/>
      <charset val="134"/>
    </font>
    <font>
      <sz val="9"/>
      <color indexed="23"/>
      <name val="Arial"/>
      <charset val="134"/>
    </font>
    <font>
      <sz val="12"/>
      <color theme="1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0"/>
      <color theme="1"/>
      <name val="宋体"/>
      <charset val="134"/>
    </font>
    <font>
      <sz val="10"/>
      <color theme="4" tint="-0.499984740745262"/>
      <name val="Arial"/>
      <charset val="134"/>
    </font>
  </fonts>
  <fills count="6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4" tint="0.399914548173467"/>
        <bgColor indexed="64"/>
      </patternFill>
    </fill>
    <fill>
      <patternFill patternType="solid">
        <fgColor theme="5" tint="0.399914548173467"/>
        <bgColor indexed="64"/>
      </patternFill>
    </fill>
    <fill>
      <patternFill patternType="solid">
        <fgColor theme="6" tint="0.399914548173467"/>
        <bgColor indexed="64"/>
      </patternFill>
    </fill>
    <fill>
      <patternFill patternType="solid">
        <fgColor theme="7" tint="0.399914548173467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9" tint="0.399914548173467"/>
        <bgColor indexed="64"/>
      </patternFill>
    </fill>
    <fill>
      <patternFill patternType="solid">
        <fgColor rgb="FFFE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4B4B4"/>
        <bgColor indexed="64"/>
      </patternFill>
    </fill>
    <fill>
      <patternFill patternType="mediumGray">
        <fgColor rgb="FFF0F0F0"/>
        <bgColor rgb="FFF0F0F0"/>
      </patternFill>
    </fill>
    <fill>
      <patternFill patternType="solid">
        <fgColor rgb="FF062A87"/>
        <bgColor indexed="64"/>
      </patternFill>
    </fill>
    <fill>
      <patternFill patternType="solid">
        <fgColor rgb="FF027D93"/>
        <bgColor indexed="64"/>
      </patternFill>
    </fill>
  </fills>
  <borders count="50">
    <border>
      <left/>
      <right/>
      <top/>
      <bottom/>
      <diagonal/>
    </border>
    <border>
      <left style="medium">
        <color theme="8" tint="-0.499984740745262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ck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ck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ck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C5D0D8"/>
      </bottom>
      <diagonal/>
    </border>
    <border>
      <left style="medium">
        <color rgb="FFFEFFFF"/>
      </left>
      <right style="medium">
        <color rgb="FFB4B4B4"/>
      </right>
      <top style="medium">
        <color rgb="FFFEFFFF"/>
      </top>
      <bottom style="medium">
        <color rgb="FFB4B4B4"/>
      </bottom>
      <diagonal/>
    </border>
    <border>
      <left style="thin">
        <color rgb="FFFEFFFF"/>
      </left>
      <right style="thin">
        <color rgb="FFD6DFC5"/>
      </right>
      <top style="thin">
        <color rgb="FF000000"/>
      </top>
      <bottom style="thin">
        <color rgb="FF6A7FB8"/>
      </bottom>
      <diagonal/>
    </border>
    <border>
      <left/>
      <right/>
      <top/>
      <bottom style="medium">
        <color rgb="FFFEFFFF"/>
      </bottom>
      <diagonal/>
    </border>
    <border>
      <left/>
      <right/>
      <top/>
      <bottom style="thin">
        <color rgb="FFFC7E2C"/>
      </bottom>
      <diagonal/>
    </border>
    <border>
      <left/>
      <right/>
      <top/>
      <bottom style="thick">
        <color rgb="FF777676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14548173467"/>
      </bottom>
      <diagonal/>
    </border>
    <border>
      <left/>
      <right/>
      <top/>
      <bottom style="thick">
        <color rgb="FF062A87"/>
      </bottom>
      <diagonal/>
    </border>
  </borders>
  <cellStyleXfs count="133">
    <xf numFmtId="176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21" borderId="32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33" applyNumberFormat="0" applyFill="0" applyAlignment="0" applyProtection="0">
      <alignment vertical="center"/>
    </xf>
    <xf numFmtId="0" fontId="33" fillId="0" borderId="33" applyNumberFormat="0" applyFill="0" applyAlignment="0" applyProtection="0">
      <alignment vertical="center"/>
    </xf>
    <xf numFmtId="0" fontId="34" fillId="0" borderId="34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22" borderId="35" applyNumberFormat="0" applyAlignment="0" applyProtection="0">
      <alignment vertical="center"/>
    </xf>
    <xf numFmtId="0" fontId="36" fillId="23" borderId="36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8" fillId="24" borderId="37" applyNumberFormat="0" applyAlignment="0" applyProtection="0">
      <alignment vertical="center"/>
    </xf>
    <xf numFmtId="0" fontId="39" fillId="0" borderId="38" applyNumberFormat="0" applyFill="0" applyAlignment="0" applyProtection="0">
      <alignment vertical="center"/>
    </xf>
    <xf numFmtId="0" fontId="40" fillId="0" borderId="39" applyNumberFormat="0" applyFill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176" fontId="8" fillId="0" borderId="0"/>
    <xf numFmtId="176" fontId="0" fillId="7" borderId="0" applyNumberFormat="0" applyBorder="0" applyAlignment="0" applyProtection="0"/>
    <xf numFmtId="176" fontId="0" fillId="6" borderId="0" applyNumberFormat="0" applyBorder="0" applyAlignment="0" applyProtection="0"/>
    <xf numFmtId="176" fontId="0" fillId="45" borderId="0" applyNumberFormat="0" applyBorder="0" applyAlignment="0" applyProtection="0"/>
    <xf numFmtId="176" fontId="0" fillId="46" borderId="0" applyNumberFormat="0" applyBorder="0" applyAlignment="0" applyProtection="0"/>
    <xf numFmtId="176" fontId="0" fillId="47" borderId="0" applyNumberFormat="0" applyBorder="0" applyAlignment="0" applyProtection="0"/>
    <xf numFmtId="176" fontId="0" fillId="48" borderId="0" applyNumberFormat="0" applyBorder="0" applyAlignment="0" applyProtection="0"/>
    <xf numFmtId="176" fontId="0" fillId="4" borderId="0" applyNumberFormat="0" applyBorder="0" applyAlignment="0" applyProtection="0"/>
    <xf numFmtId="176" fontId="0" fillId="16" borderId="0" applyNumberFormat="0" applyBorder="0" applyAlignment="0" applyProtection="0"/>
    <xf numFmtId="176" fontId="0" fillId="34" borderId="0" applyNumberFormat="0" applyBorder="0" applyAlignment="0" applyProtection="0"/>
    <xf numFmtId="176" fontId="0" fillId="17" borderId="0" applyNumberFormat="0" applyBorder="0" applyAlignment="0" applyProtection="0"/>
    <xf numFmtId="176" fontId="0" fillId="40" borderId="0" applyNumberFormat="0" applyBorder="0" applyAlignment="0" applyProtection="0"/>
    <xf numFmtId="176" fontId="0" fillId="15" borderId="0" applyNumberFormat="0" applyBorder="0" applyAlignment="0" applyProtection="0"/>
    <xf numFmtId="176" fontId="46" fillId="49" borderId="0" applyNumberFormat="0" applyBorder="0" applyAlignment="0" applyProtection="0"/>
    <xf numFmtId="176" fontId="46" fillId="50" borderId="0" applyNumberFormat="0" applyBorder="0" applyAlignment="0" applyProtection="0"/>
    <xf numFmtId="176" fontId="46" fillId="51" borderId="0" applyNumberFormat="0" applyBorder="0" applyAlignment="0" applyProtection="0"/>
    <xf numFmtId="176" fontId="46" fillId="52" borderId="0" applyNumberFormat="0" applyBorder="0" applyAlignment="0" applyProtection="0"/>
    <xf numFmtId="176" fontId="46" fillId="53" borderId="0" applyNumberFormat="0" applyBorder="0" applyAlignment="0" applyProtection="0"/>
    <xf numFmtId="176" fontId="46" fillId="54" borderId="0" applyNumberFormat="0" applyBorder="0" applyAlignment="0" applyProtection="0"/>
    <xf numFmtId="176" fontId="24" fillId="0" borderId="0" applyNumberFormat="0" applyFont="0" applyFill="0" applyBorder="0" applyAlignment="0" applyProtection="0"/>
    <xf numFmtId="176" fontId="47" fillId="55" borderId="40" applyProtection="0">
      <alignment vertical="center"/>
    </xf>
    <xf numFmtId="176" fontId="48" fillId="56" borderId="41" applyProtection="0">
      <alignment horizontal="center" vertical="center"/>
    </xf>
    <xf numFmtId="176" fontId="49" fillId="56" borderId="42" applyProtection="0">
      <alignment horizontal="left"/>
    </xf>
    <xf numFmtId="176" fontId="49" fillId="57" borderId="42" applyProtection="0">
      <alignment horizontal="left"/>
    </xf>
    <xf numFmtId="176" fontId="49" fillId="56" borderId="42" applyProtection="0">
      <alignment horizontal="right"/>
    </xf>
    <xf numFmtId="176" fontId="49" fillId="57" borderId="42" applyProtection="0">
      <alignment horizontal="right"/>
    </xf>
    <xf numFmtId="177" fontId="24" fillId="0" borderId="0" applyFont="0" applyFill="0" applyBorder="0" applyAlignment="0" applyProtection="0"/>
    <xf numFmtId="178" fontId="50" fillId="55" borderId="40" applyAlignment="0" applyProtection="0"/>
    <xf numFmtId="179" fontId="50" fillId="55" borderId="40" applyAlignment="0" applyProtection="0"/>
    <xf numFmtId="180" fontId="50" fillId="55" borderId="40" applyAlignment="0" applyProtection="0"/>
    <xf numFmtId="40" fontId="50" fillId="55" borderId="40" applyAlignment="0" applyProtection="0"/>
    <xf numFmtId="181" fontId="24" fillId="58" borderId="40" applyAlignment="0">
      <protection locked="0"/>
    </xf>
    <xf numFmtId="182" fontId="24" fillId="0" borderId="0" applyFont="0" applyFill="0" applyBorder="0" applyAlignment="0" applyProtection="0"/>
    <xf numFmtId="183" fontId="24" fillId="0" borderId="0" applyFont="0" applyFill="0" applyBorder="0" applyAlignment="0" applyProtection="0"/>
    <xf numFmtId="176" fontId="51" fillId="59" borderId="43" applyAlignment="0" applyProtection="0"/>
    <xf numFmtId="176" fontId="52" fillId="0" borderId="0" applyFill="0" applyBorder="0" applyAlignment="0" applyProtection="0"/>
    <xf numFmtId="3" fontId="53" fillId="60" borderId="44" applyAlignment="0" applyProtection="0"/>
    <xf numFmtId="176" fontId="54" fillId="56" borderId="0" applyNumberFormat="0" applyBorder="0" applyAlignment="0" applyProtection="0"/>
    <xf numFmtId="184" fontId="55" fillId="0" borderId="0" applyFill="0" applyBorder="0" applyProtection="0">
      <alignment horizontal="center" vertical="center"/>
    </xf>
    <xf numFmtId="185" fontId="55" fillId="0" borderId="0" applyBorder="0" applyAlignment="0" applyProtection="0"/>
    <xf numFmtId="176" fontId="49" fillId="0" borderId="0" applyFill="0" applyBorder="0" applyAlignment="0" applyProtection="0"/>
    <xf numFmtId="176" fontId="56" fillId="0" borderId="0" applyNumberFormat="0" applyFill="0" applyBorder="0" applyAlignment="0" applyProtection="0"/>
    <xf numFmtId="176" fontId="50" fillId="56" borderId="40" applyAlignment="0" applyProtection="0"/>
    <xf numFmtId="176" fontId="57" fillId="0" borderId="0">
      <alignment vertical="top"/>
    </xf>
    <xf numFmtId="176" fontId="50" fillId="55" borderId="40" applyAlignment="0" applyProtection="0"/>
    <xf numFmtId="3" fontId="8" fillId="0" borderId="0"/>
    <xf numFmtId="176" fontId="58" fillId="0" borderId="0" applyFill="0" applyBorder="0" applyAlignment="0" applyProtection="0"/>
    <xf numFmtId="176" fontId="59" fillId="0" borderId="45" applyFill="0" applyProtection="0">
      <alignment horizontal="right" vertical="center"/>
    </xf>
    <xf numFmtId="3" fontId="49" fillId="55" borderId="40" applyProtection="0">
      <alignment horizontal="right"/>
    </xf>
    <xf numFmtId="9" fontId="49" fillId="55" borderId="40" applyProtection="0">
      <alignment horizontal="right"/>
    </xf>
    <xf numFmtId="9" fontId="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/>
    <xf numFmtId="9" fontId="54" fillId="0" borderId="40" applyFill="0" applyAlignment="0" applyProtection="0"/>
    <xf numFmtId="176" fontId="32" fillId="0" borderId="46" applyNumberFormat="0" applyFill="0" applyAlignment="0" applyProtection="0"/>
    <xf numFmtId="176" fontId="33" fillId="0" borderId="47" applyNumberFormat="0" applyFill="0" applyAlignment="0" applyProtection="0"/>
    <xf numFmtId="176" fontId="34" fillId="0" borderId="48" applyNumberFormat="0" applyFill="0" applyAlignment="0" applyProtection="0"/>
    <xf numFmtId="176" fontId="34" fillId="0" borderId="0" applyNumberFormat="0" applyFill="0" applyBorder="0" applyAlignment="0" applyProtection="0"/>
    <xf numFmtId="176" fontId="54" fillId="0" borderId="49" applyFill="0" applyProtection="0">
      <alignment vertical="center"/>
    </xf>
    <xf numFmtId="176" fontId="61" fillId="26" borderId="0" applyNumberFormat="0" applyBorder="0" applyAlignment="0" applyProtection="0"/>
    <xf numFmtId="176" fontId="0" fillId="0" borderId="0"/>
    <xf numFmtId="176" fontId="0" fillId="0" borderId="0"/>
    <xf numFmtId="176" fontId="0" fillId="0" borderId="0">
      <alignment vertical="center"/>
    </xf>
    <xf numFmtId="176" fontId="0" fillId="0" borderId="0"/>
    <xf numFmtId="176" fontId="24" fillId="55" borderId="0"/>
    <xf numFmtId="176" fontId="62" fillId="0" borderId="0">
      <alignment vertical="center"/>
    </xf>
    <xf numFmtId="176" fontId="60" fillId="0" borderId="0"/>
    <xf numFmtId="176" fontId="63" fillId="25" borderId="0" applyNumberFormat="0" applyBorder="0" applyAlignment="0" applyProtection="0"/>
    <xf numFmtId="3" fontId="49" fillId="0" borderId="0" applyFill="0" applyBorder="0" applyAlignment="0" applyProtection="0"/>
    <xf numFmtId="176" fontId="64" fillId="23" borderId="35" applyNumberFormat="0" applyAlignment="0" applyProtection="0"/>
    <xf numFmtId="176" fontId="65" fillId="24" borderId="37" applyNumberFormat="0" applyAlignment="0" applyProtection="0"/>
    <xf numFmtId="176" fontId="66" fillId="0" borderId="0" applyNumberFormat="0" applyFill="0" applyBorder="0" applyAlignment="0" applyProtection="0"/>
    <xf numFmtId="176" fontId="67" fillId="0" borderId="0" applyNumberFormat="0" applyFill="0" applyBorder="0" applyAlignment="0" applyProtection="0"/>
    <xf numFmtId="176" fontId="68" fillId="0" borderId="38" applyNumberFormat="0" applyFill="0" applyAlignment="0" applyProtection="0"/>
    <xf numFmtId="43" fontId="60" fillId="0" borderId="0" applyFont="0" applyFill="0" applyBorder="0" applyAlignment="0" applyProtection="0">
      <alignment vertical="center"/>
    </xf>
    <xf numFmtId="176" fontId="46" fillId="28" borderId="0" applyNumberFormat="0" applyBorder="0" applyAlignment="0" applyProtection="0"/>
    <xf numFmtId="176" fontId="46" fillId="30" borderId="0" applyNumberFormat="0" applyBorder="0" applyAlignment="0" applyProtection="0"/>
    <xf numFmtId="176" fontId="46" fillId="32" borderId="0" applyNumberFormat="0" applyBorder="0" applyAlignment="0" applyProtection="0"/>
    <xf numFmtId="176" fontId="46" fillId="36" borderId="0" applyNumberFormat="0" applyBorder="0" applyAlignment="0" applyProtection="0"/>
    <xf numFmtId="176" fontId="46" fillId="38" borderId="0" applyNumberFormat="0" applyBorder="0" applyAlignment="0" applyProtection="0"/>
    <xf numFmtId="176" fontId="46" fillId="42" borderId="0" applyNumberFormat="0" applyBorder="0" applyAlignment="0" applyProtection="0"/>
    <xf numFmtId="176" fontId="69" fillId="27" borderId="0" applyNumberFormat="0" applyBorder="0" applyAlignment="0" applyProtection="0"/>
    <xf numFmtId="176" fontId="70" fillId="23" borderId="36" applyNumberFormat="0" applyAlignment="0" applyProtection="0"/>
    <xf numFmtId="176" fontId="71" fillId="22" borderId="35" applyNumberFormat="0" applyAlignment="0" applyProtection="0"/>
    <xf numFmtId="176" fontId="0" fillId="21" borderId="32" applyNumberFormat="0" applyFont="0" applyAlignment="0" applyProtection="0"/>
  </cellStyleXfs>
  <cellXfs count="198">
    <xf numFmtId="176" fontId="0" fillId="0" borderId="0" xfId="0">
      <alignment vertical="center"/>
    </xf>
    <xf numFmtId="176" fontId="0" fillId="2" borderId="0" xfId="0" applyFill="1">
      <alignment vertical="center"/>
    </xf>
    <xf numFmtId="176" fontId="1" fillId="0" borderId="0" xfId="0" applyFont="1" applyAlignment="1">
      <alignment horizontal="center" vertical="center"/>
    </xf>
    <xf numFmtId="176" fontId="1" fillId="0" borderId="0" xfId="0" applyFont="1" applyAlignment="1">
      <alignment horizontal="left" vertical="center"/>
    </xf>
    <xf numFmtId="176" fontId="0" fillId="0" borderId="1" xfId="0" applyBorder="1">
      <alignment vertical="center"/>
    </xf>
    <xf numFmtId="176" fontId="2" fillId="3" borderId="2" xfId="108" applyFont="1" applyFill="1" applyBorder="1" applyAlignment="1">
      <alignment horizontal="center" vertical="center"/>
    </xf>
    <xf numFmtId="176" fontId="2" fillId="3" borderId="2" xfId="108" applyFont="1" applyFill="1" applyBorder="1" applyAlignment="1">
      <alignment horizontal="center" vertical="center" wrapText="1"/>
    </xf>
    <xf numFmtId="176" fontId="2" fillId="3" borderId="3" xfId="108" applyFont="1" applyFill="1" applyBorder="1" applyAlignment="1">
      <alignment horizontal="center" vertical="center" wrapText="1"/>
    </xf>
    <xf numFmtId="176" fontId="2" fillId="3" borderId="4" xfId="0" applyFont="1" applyFill="1" applyBorder="1" applyAlignment="1">
      <alignment horizontal="center" vertical="center"/>
    </xf>
    <xf numFmtId="176" fontId="2" fillId="3" borderId="5" xfId="0" applyFont="1" applyFill="1" applyBorder="1" applyAlignment="1">
      <alignment horizontal="center" vertical="center"/>
    </xf>
    <xf numFmtId="176" fontId="2" fillId="3" borderId="2" xfId="0" applyFont="1" applyFill="1" applyBorder="1" applyAlignment="1">
      <alignment horizontal="center" vertical="center"/>
    </xf>
    <xf numFmtId="176" fontId="2" fillId="3" borderId="6" xfId="0" applyFont="1" applyFill="1" applyBorder="1" applyAlignment="1">
      <alignment horizontal="center" vertical="center" wrapText="1"/>
    </xf>
    <xf numFmtId="176" fontId="2" fillId="3" borderId="7" xfId="0" applyFont="1" applyFill="1" applyBorder="1" applyAlignment="1">
      <alignment horizontal="center" vertical="center" wrapText="1"/>
    </xf>
    <xf numFmtId="176" fontId="1" fillId="0" borderId="0" xfId="0" applyFont="1" applyAlignment="1">
      <alignment vertical="center"/>
    </xf>
    <xf numFmtId="176" fontId="2" fillId="3" borderId="8" xfId="108" applyFont="1" applyFill="1" applyBorder="1" applyAlignment="1">
      <alignment horizontal="center" vertical="center"/>
    </xf>
    <xf numFmtId="176" fontId="2" fillId="3" borderId="9" xfId="108" applyFont="1" applyFill="1" applyBorder="1" applyAlignment="1">
      <alignment horizontal="center" vertical="center"/>
    </xf>
    <xf numFmtId="176" fontId="2" fillId="3" borderId="4" xfId="108" applyFont="1" applyFill="1" applyBorder="1" applyAlignment="1">
      <alignment horizontal="center" vertical="center"/>
    </xf>
    <xf numFmtId="176" fontId="2" fillId="3" borderId="5" xfId="108" applyFont="1" applyFill="1" applyBorder="1" applyAlignment="1">
      <alignment horizontal="center" vertical="center" wrapText="1"/>
    </xf>
    <xf numFmtId="176" fontId="2" fillId="3" borderId="5" xfId="108" applyFont="1" applyFill="1" applyBorder="1" applyAlignment="1">
      <alignment horizontal="center" vertical="center"/>
    </xf>
    <xf numFmtId="176" fontId="2" fillId="3" borderId="10" xfId="0" applyFont="1" applyFill="1" applyBorder="1" applyAlignment="1">
      <alignment horizontal="center" vertical="center" wrapText="1"/>
    </xf>
    <xf numFmtId="176" fontId="2" fillId="3" borderId="8" xfId="0" applyFont="1" applyFill="1" applyBorder="1" applyAlignment="1">
      <alignment horizontal="center" vertical="center" wrapText="1"/>
    </xf>
    <xf numFmtId="176" fontId="2" fillId="3" borderId="8" xfId="108" applyFont="1" applyFill="1" applyBorder="1" applyAlignment="1">
      <alignment horizontal="center" vertical="center" wrapText="1"/>
    </xf>
    <xf numFmtId="176" fontId="3" fillId="0" borderId="0" xfId="108" applyFont="1" applyAlignment="1">
      <alignment vertical="center"/>
    </xf>
    <xf numFmtId="176" fontId="4" fillId="4" borderId="2" xfId="0" applyFont="1" applyFill="1" applyBorder="1" applyAlignment="1">
      <alignment horizontal="center" vertical="center"/>
    </xf>
    <xf numFmtId="186" fontId="5" fillId="4" borderId="5" xfId="1" applyNumberFormat="1" applyFont="1" applyFill="1" applyBorder="1" applyAlignment="1">
      <alignment horizontal="right"/>
    </xf>
    <xf numFmtId="187" fontId="5" fillId="4" borderId="5" xfId="1" applyNumberFormat="1" applyFont="1" applyFill="1" applyBorder="1" applyAlignment="1">
      <alignment horizontal="right"/>
    </xf>
    <xf numFmtId="9" fontId="6" fillId="4" borderId="2" xfId="3" applyFont="1" applyFill="1" applyBorder="1" applyAlignment="1">
      <alignment horizontal="right"/>
    </xf>
    <xf numFmtId="186" fontId="5" fillId="4" borderId="4" xfId="1" applyNumberFormat="1" applyFont="1" applyFill="1" applyBorder="1" applyAlignment="1">
      <alignment horizontal="right"/>
    </xf>
    <xf numFmtId="9" fontId="6" fillId="4" borderId="2" xfId="3" applyFont="1" applyFill="1" applyBorder="1" applyAlignment="1">
      <alignment horizontal="right" vertical="center"/>
    </xf>
    <xf numFmtId="9" fontId="7" fillId="4" borderId="11" xfId="3" applyFont="1" applyFill="1" applyBorder="1" applyAlignment="1">
      <alignment horizontal="center"/>
    </xf>
    <xf numFmtId="9" fontId="5" fillId="4" borderId="5" xfId="3" applyFont="1" applyFill="1" applyBorder="1" applyAlignment="1">
      <alignment horizontal="center" vertical="center"/>
    </xf>
    <xf numFmtId="186" fontId="0" fillId="0" borderId="0" xfId="0" applyNumberFormat="1">
      <alignment vertical="center"/>
    </xf>
    <xf numFmtId="176" fontId="3" fillId="0" borderId="2" xfId="0" applyFont="1" applyBorder="1" applyAlignment="1">
      <alignment horizontal="center" vertical="center"/>
    </xf>
    <xf numFmtId="186" fontId="3" fillId="0" borderId="5" xfId="1" applyNumberFormat="1" applyFont="1" applyBorder="1" applyAlignment="1">
      <alignment horizontal="right"/>
    </xf>
    <xf numFmtId="187" fontId="3" fillId="0" borderId="5" xfId="1" applyNumberFormat="1" applyFont="1" applyBorder="1" applyAlignment="1">
      <alignment horizontal="right"/>
    </xf>
    <xf numFmtId="9" fontId="8" fillId="0" borderId="2" xfId="3" applyFont="1" applyBorder="1" applyAlignment="1">
      <alignment horizontal="right"/>
    </xf>
    <xf numFmtId="186" fontId="3" fillId="2" borderId="4" xfId="0" applyNumberFormat="1" applyFont="1" applyFill="1" applyBorder="1" applyAlignment="1">
      <alignment horizontal="right" vertical="center"/>
    </xf>
    <xf numFmtId="9" fontId="8" fillId="2" borderId="2" xfId="3" applyFont="1" applyFill="1" applyBorder="1" applyAlignment="1">
      <alignment horizontal="right" vertical="center"/>
    </xf>
    <xf numFmtId="9" fontId="9" fillId="2" borderId="5" xfId="3" applyFont="1" applyFill="1" applyBorder="1" applyAlignment="1">
      <alignment horizontal="center" vertical="center"/>
    </xf>
    <xf numFmtId="9" fontId="3" fillId="2" borderId="5" xfId="3" applyFont="1" applyFill="1" applyBorder="1" applyAlignment="1">
      <alignment horizontal="center" vertical="center"/>
    </xf>
    <xf numFmtId="176" fontId="3" fillId="4" borderId="2" xfId="0" applyFont="1" applyFill="1" applyBorder="1" applyAlignment="1">
      <alignment horizontal="center" vertical="center"/>
    </xf>
    <xf numFmtId="186" fontId="3" fillId="4" borderId="5" xfId="1" applyNumberFormat="1" applyFont="1" applyFill="1" applyBorder="1" applyAlignment="1">
      <alignment horizontal="right"/>
    </xf>
    <xf numFmtId="187" fontId="3" fillId="4" borderId="5" xfId="1" applyNumberFormat="1" applyFont="1" applyFill="1" applyBorder="1" applyAlignment="1">
      <alignment horizontal="right"/>
    </xf>
    <xf numFmtId="9" fontId="8" fillId="4" borderId="2" xfId="3" applyFont="1" applyFill="1" applyBorder="1" applyAlignment="1">
      <alignment horizontal="right"/>
    </xf>
    <xf numFmtId="186" fontId="3" fillId="4" borderId="4" xfId="0" applyNumberFormat="1" applyFont="1" applyFill="1" applyBorder="1" applyAlignment="1">
      <alignment horizontal="right" vertical="center"/>
    </xf>
    <xf numFmtId="9" fontId="8" fillId="4" borderId="2" xfId="3" applyFont="1" applyFill="1" applyBorder="1" applyAlignment="1">
      <alignment horizontal="right" vertical="center"/>
    </xf>
    <xf numFmtId="9" fontId="9" fillId="4" borderId="5" xfId="3" applyFont="1" applyFill="1" applyBorder="1" applyAlignment="1">
      <alignment horizontal="center" vertical="center"/>
    </xf>
    <xf numFmtId="9" fontId="3" fillId="4" borderId="5" xfId="3" applyFont="1" applyFill="1" applyBorder="1" applyAlignment="1">
      <alignment horizontal="center" vertical="center"/>
    </xf>
    <xf numFmtId="176" fontId="0" fillId="2" borderId="1" xfId="0" applyFill="1" applyBorder="1">
      <alignment vertical="center"/>
    </xf>
    <xf numFmtId="176" fontId="3" fillId="2" borderId="2" xfId="0" applyFont="1" applyFill="1" applyBorder="1" applyAlignment="1">
      <alignment horizontal="center" vertical="center"/>
    </xf>
    <xf numFmtId="186" fontId="3" fillId="2" borderId="5" xfId="1" applyNumberFormat="1" applyFont="1" applyFill="1" applyBorder="1" applyAlignment="1">
      <alignment horizontal="right"/>
    </xf>
    <xf numFmtId="187" fontId="3" fillId="2" borderId="5" xfId="1" applyNumberFormat="1" applyFont="1" applyFill="1" applyBorder="1" applyAlignment="1">
      <alignment horizontal="right"/>
    </xf>
    <xf numFmtId="9" fontId="8" fillId="2" borderId="2" xfId="3" applyFont="1" applyFill="1" applyBorder="1" applyAlignment="1">
      <alignment horizontal="right"/>
    </xf>
    <xf numFmtId="186" fontId="0" fillId="2" borderId="0" xfId="0" applyNumberFormat="1" applyFill="1">
      <alignment vertical="center"/>
    </xf>
    <xf numFmtId="9" fontId="8" fillId="2" borderId="5" xfId="3" applyFont="1" applyFill="1" applyBorder="1" applyAlignment="1">
      <alignment horizontal="center" vertical="center"/>
    </xf>
    <xf numFmtId="9" fontId="8" fillId="4" borderId="5" xfId="3" applyFont="1" applyFill="1" applyBorder="1" applyAlignment="1">
      <alignment horizontal="center" vertical="center"/>
    </xf>
    <xf numFmtId="9" fontId="8" fillId="4" borderId="2" xfId="3" applyNumberFormat="1" applyFont="1" applyFill="1" applyBorder="1" applyAlignment="1">
      <alignment horizontal="right"/>
    </xf>
    <xf numFmtId="176" fontId="3" fillId="0" borderId="0" xfId="0" applyFont="1" applyAlignment="1">
      <alignment horizontal="center" vertical="center"/>
    </xf>
    <xf numFmtId="186" fontId="3" fillId="0" borderId="0" xfId="1" applyNumberFormat="1" applyFont="1" applyAlignment="1">
      <alignment horizontal="right"/>
    </xf>
    <xf numFmtId="187" fontId="3" fillId="0" borderId="0" xfId="1" applyNumberFormat="1" applyFont="1" applyAlignment="1">
      <alignment horizontal="right"/>
    </xf>
    <xf numFmtId="9" fontId="9" fillId="0" borderId="0" xfId="3" applyFont="1" applyAlignment="1">
      <alignment horizontal="right"/>
    </xf>
    <xf numFmtId="9" fontId="9" fillId="2" borderId="0" xfId="3" applyFont="1" applyFill="1" applyAlignment="1">
      <alignment horizontal="right" vertical="center"/>
    </xf>
    <xf numFmtId="186" fontId="3" fillId="2" borderId="0" xfId="0" applyNumberFormat="1" applyFont="1" applyFill="1" applyAlignment="1">
      <alignment horizontal="right" vertical="center"/>
    </xf>
    <xf numFmtId="9" fontId="9" fillId="2" borderId="0" xfId="3" applyFont="1" applyFill="1" applyAlignment="1">
      <alignment horizontal="center" vertical="center"/>
    </xf>
    <xf numFmtId="176" fontId="1" fillId="0" borderId="0" xfId="0" applyFont="1" applyFill="1" applyAlignment="1">
      <alignment horizontal="left" vertical="center"/>
    </xf>
    <xf numFmtId="176" fontId="1" fillId="0" borderId="0" xfId="0" applyFont="1" applyFill="1" applyAlignment="1">
      <alignment vertical="center"/>
    </xf>
    <xf numFmtId="176" fontId="10" fillId="0" borderId="0" xfId="0" applyFont="1">
      <alignment vertical="center"/>
    </xf>
    <xf numFmtId="176" fontId="11" fillId="0" borderId="0" xfId="0" applyFont="1" applyFill="1" applyAlignment="1">
      <alignment vertical="center"/>
    </xf>
    <xf numFmtId="188" fontId="0" fillId="0" borderId="0" xfId="0" applyNumberFormat="1">
      <alignment vertical="center"/>
    </xf>
    <xf numFmtId="186" fontId="12" fillId="0" borderId="12" xfId="0" applyNumberFormat="1" applyFont="1" applyBorder="1" applyAlignment="1"/>
    <xf numFmtId="176" fontId="4" fillId="5" borderId="13" xfId="0" applyFont="1" applyFill="1" applyBorder="1" applyAlignment="1">
      <alignment horizontal="center" vertical="center"/>
    </xf>
    <xf numFmtId="186" fontId="13" fillId="5" borderId="14" xfId="0" applyNumberFormat="1" applyFont="1" applyFill="1" applyBorder="1" applyAlignment="1">
      <alignment horizontal="center" vertical="center"/>
    </xf>
    <xf numFmtId="186" fontId="13" fillId="5" borderId="15" xfId="0" applyNumberFormat="1" applyFont="1" applyFill="1" applyBorder="1" applyAlignment="1">
      <alignment horizontal="center" vertical="center"/>
    </xf>
    <xf numFmtId="186" fontId="13" fillId="5" borderId="16" xfId="0" applyNumberFormat="1" applyFont="1" applyFill="1" applyBorder="1" applyAlignment="1">
      <alignment horizontal="center" vertical="center"/>
    </xf>
    <xf numFmtId="176" fontId="4" fillId="5" borderId="17" xfId="0" applyFont="1" applyFill="1" applyBorder="1" applyAlignment="1">
      <alignment horizontal="center" vertical="center"/>
    </xf>
    <xf numFmtId="186" fontId="4" fillId="5" borderId="18" xfId="0" applyNumberFormat="1" applyFont="1" applyFill="1" applyBorder="1" applyAlignment="1">
      <alignment horizontal="center" vertical="center"/>
    </xf>
    <xf numFmtId="186" fontId="4" fillId="5" borderId="19" xfId="0" applyNumberFormat="1" applyFont="1" applyFill="1" applyBorder="1" applyAlignment="1">
      <alignment horizontal="center" vertical="center"/>
    </xf>
    <xf numFmtId="176" fontId="3" fillId="0" borderId="17" xfId="0" applyFont="1" applyBorder="1" applyAlignment="1">
      <alignment horizontal="center"/>
    </xf>
    <xf numFmtId="189" fontId="3" fillId="5" borderId="18" xfId="1" applyNumberFormat="1" applyFont="1" applyFill="1" applyBorder="1" applyAlignment="1">
      <alignment horizontal="right"/>
    </xf>
    <xf numFmtId="189" fontId="3" fillId="6" borderId="18" xfId="1" applyNumberFormat="1" applyFont="1" applyFill="1" applyBorder="1" applyAlignment="1">
      <alignment horizontal="right"/>
    </xf>
    <xf numFmtId="189" fontId="3" fillId="7" borderId="18" xfId="1" applyNumberFormat="1" applyFont="1" applyFill="1" applyBorder="1" applyAlignment="1">
      <alignment horizontal="right"/>
    </xf>
    <xf numFmtId="189" fontId="3" fillId="8" borderId="18" xfId="1" applyNumberFormat="1" applyFont="1" applyFill="1" applyBorder="1" applyAlignment="1">
      <alignment horizontal="right"/>
    </xf>
    <xf numFmtId="189" fontId="3" fillId="9" borderId="18" xfId="1" applyNumberFormat="1" applyFont="1" applyFill="1" applyBorder="1" applyAlignment="1">
      <alignment horizontal="right"/>
    </xf>
    <xf numFmtId="189" fontId="3" fillId="7" borderId="20" xfId="1" applyNumberFormat="1" applyFont="1" applyFill="1" applyBorder="1" applyAlignment="1">
      <alignment horizontal="right"/>
    </xf>
    <xf numFmtId="187" fontId="14" fillId="10" borderId="19" xfId="0" applyNumberFormat="1" applyFont="1" applyFill="1" applyBorder="1">
      <alignment vertical="center"/>
    </xf>
    <xf numFmtId="176" fontId="8" fillId="0" borderId="17" xfId="0" applyFont="1" applyBorder="1" applyAlignment="1">
      <alignment horizontal="center"/>
    </xf>
    <xf numFmtId="176" fontId="15" fillId="5" borderId="21" xfId="0" applyFont="1" applyFill="1" applyBorder="1" applyAlignment="1">
      <alignment horizontal="center" vertical="center"/>
    </xf>
    <xf numFmtId="189" fontId="5" fillId="5" borderId="22" xfId="1" applyNumberFormat="1" applyFont="1" applyFill="1" applyBorder="1" applyAlignment="1">
      <alignment horizontal="center" vertical="center"/>
    </xf>
    <xf numFmtId="187" fontId="5" fillId="5" borderId="23" xfId="1" applyNumberFormat="1" applyFont="1" applyFill="1" applyBorder="1" applyAlignment="1">
      <alignment horizontal="center" vertical="center"/>
    </xf>
    <xf numFmtId="186" fontId="4" fillId="0" borderId="0" xfId="0" applyNumberFormat="1" applyFont="1" applyAlignment="1"/>
    <xf numFmtId="176" fontId="0" fillId="0" borderId="0" xfId="0" applyAlignment="1"/>
    <xf numFmtId="176" fontId="5" fillId="5" borderId="13" xfId="0" applyFont="1" applyFill="1" applyBorder="1" applyAlignment="1">
      <alignment horizontal="center" wrapText="1"/>
    </xf>
    <xf numFmtId="186" fontId="5" fillId="5" borderId="14" xfId="0" applyNumberFormat="1" applyFont="1" applyFill="1" applyBorder="1" applyAlignment="1">
      <alignment horizontal="center" vertical="center"/>
    </xf>
    <xf numFmtId="186" fontId="4" fillId="5" borderId="16" xfId="0" applyNumberFormat="1" applyFont="1" applyFill="1" applyBorder="1" applyAlignment="1">
      <alignment horizontal="center" vertical="center"/>
    </xf>
    <xf numFmtId="186" fontId="5" fillId="5" borderId="16" xfId="0" applyNumberFormat="1" applyFont="1" applyFill="1" applyBorder="1" applyAlignment="1">
      <alignment horizontal="center" vertical="center"/>
    </xf>
    <xf numFmtId="176" fontId="3" fillId="9" borderId="17" xfId="0" applyFont="1" applyFill="1" applyBorder="1" applyAlignment="1">
      <alignment horizontal="center" vertical="center"/>
    </xf>
    <xf numFmtId="187" fontId="3" fillId="9" borderId="18" xfId="0" applyNumberFormat="1" applyFont="1" applyFill="1" applyBorder="1" applyAlignment="1">
      <alignment horizontal="left" vertical="center"/>
    </xf>
    <xf numFmtId="187" fontId="3" fillId="9" borderId="18" xfId="0" applyNumberFormat="1" applyFont="1" applyFill="1" applyBorder="1">
      <alignment vertical="center"/>
    </xf>
    <xf numFmtId="187" fontId="3" fillId="9" borderId="20" xfId="0" applyNumberFormat="1" applyFont="1" applyFill="1" applyBorder="1">
      <alignment vertical="center"/>
    </xf>
    <xf numFmtId="187" fontId="3" fillId="10" borderId="19" xfId="0" applyNumberFormat="1" applyFont="1" applyFill="1" applyBorder="1">
      <alignment vertical="center"/>
    </xf>
    <xf numFmtId="176" fontId="3" fillId="11" borderId="17" xfId="0" applyFont="1" applyFill="1" applyBorder="1" applyAlignment="1">
      <alignment horizontal="center" vertical="center"/>
    </xf>
    <xf numFmtId="187" fontId="3" fillId="11" borderId="18" xfId="0" applyNumberFormat="1" applyFont="1" applyFill="1" applyBorder="1" applyAlignment="1">
      <alignment horizontal="left" vertical="center"/>
    </xf>
    <xf numFmtId="187" fontId="3" fillId="11" borderId="18" xfId="0" applyNumberFormat="1" applyFont="1" applyFill="1" applyBorder="1">
      <alignment vertical="center"/>
    </xf>
    <xf numFmtId="187" fontId="3" fillId="11" borderId="20" xfId="0" applyNumberFormat="1" applyFont="1" applyFill="1" applyBorder="1">
      <alignment vertical="center"/>
    </xf>
    <xf numFmtId="176" fontId="3" fillId="8" borderId="17" xfId="0" applyFont="1" applyFill="1" applyBorder="1" applyAlignment="1">
      <alignment horizontal="center" vertical="center"/>
    </xf>
    <xf numFmtId="187" fontId="3" fillId="8" borderId="18" xfId="0" applyNumberFormat="1" applyFont="1" applyFill="1" applyBorder="1" applyAlignment="1">
      <alignment horizontal="left" vertical="center"/>
    </xf>
    <xf numFmtId="187" fontId="3" fillId="8" borderId="18" xfId="0" applyNumberFormat="1" applyFont="1" applyFill="1" applyBorder="1">
      <alignment vertical="center"/>
    </xf>
    <xf numFmtId="187" fontId="3" fillId="8" borderId="20" xfId="0" applyNumberFormat="1" applyFont="1" applyFill="1" applyBorder="1">
      <alignment vertical="center"/>
    </xf>
    <xf numFmtId="176" fontId="5" fillId="5" borderId="21" xfId="0" applyFont="1" applyFill="1" applyBorder="1" applyAlignment="1">
      <alignment horizontal="center" vertical="center"/>
    </xf>
    <xf numFmtId="187" fontId="5" fillId="5" borderId="22" xfId="0" applyNumberFormat="1" applyFont="1" applyFill="1" applyBorder="1" applyAlignment="1">
      <alignment horizontal="left" vertical="center"/>
    </xf>
    <xf numFmtId="187" fontId="5" fillId="12" borderId="22" xfId="0" applyNumberFormat="1" applyFont="1" applyFill="1" applyBorder="1" applyAlignment="1">
      <alignment horizontal="left" vertical="center"/>
    </xf>
    <xf numFmtId="187" fontId="5" fillId="12" borderId="23" xfId="0" applyNumberFormat="1" applyFont="1" applyFill="1" applyBorder="1" applyAlignment="1">
      <alignment horizontal="left" vertical="center"/>
    </xf>
    <xf numFmtId="176" fontId="5" fillId="0" borderId="0" xfId="0" applyFont="1" applyAlignment="1"/>
    <xf numFmtId="176" fontId="16" fillId="0" borderId="0" xfId="0" applyFont="1">
      <alignment vertical="center"/>
    </xf>
    <xf numFmtId="176" fontId="12" fillId="0" borderId="0" xfId="0" applyFont="1" applyAlignment="1"/>
    <xf numFmtId="186" fontId="12" fillId="0" borderId="0" xfId="0" applyNumberFormat="1" applyFont="1" applyAlignment="1"/>
    <xf numFmtId="187" fontId="5" fillId="5" borderId="23" xfId="0" applyNumberFormat="1" applyFont="1" applyFill="1" applyBorder="1" applyAlignment="1">
      <alignment horizontal="left" vertical="center"/>
    </xf>
    <xf numFmtId="189" fontId="0" fillId="0" borderId="0" xfId="1" applyNumberFormat="1" applyFont="1" applyAlignment="1"/>
    <xf numFmtId="186" fontId="12" fillId="0" borderId="0" xfId="0" applyNumberFormat="1" applyFont="1" applyAlignment="1">
      <alignment vertical="top"/>
    </xf>
    <xf numFmtId="176" fontId="15" fillId="0" borderId="0" xfId="0" applyFont="1" applyAlignment="1">
      <alignment horizontal="left" vertical="top" wrapText="1"/>
    </xf>
    <xf numFmtId="176" fontId="15" fillId="0" borderId="0" xfId="0" applyFont="1" applyAlignment="1">
      <alignment horizontal="left"/>
    </xf>
    <xf numFmtId="176" fontId="13" fillId="0" borderId="0" xfId="110" applyFont="1">
      <alignment vertical="center"/>
    </xf>
    <xf numFmtId="176" fontId="17" fillId="0" borderId="0" xfId="0" applyFont="1">
      <alignment vertical="center"/>
    </xf>
    <xf numFmtId="176" fontId="13" fillId="2" borderId="0" xfId="110" applyFont="1" applyFill="1" applyAlignment="1">
      <alignment horizontal="right" vertical="center"/>
    </xf>
    <xf numFmtId="176" fontId="17" fillId="0" borderId="0" xfId="110" applyFont="1">
      <alignment vertical="center"/>
    </xf>
    <xf numFmtId="176" fontId="18" fillId="0" borderId="0" xfId="110" applyFont="1">
      <alignment vertical="center"/>
    </xf>
    <xf numFmtId="176" fontId="18" fillId="13" borderId="24" xfId="111" applyFont="1" applyFill="1" applyBorder="1" applyAlignment="1" applyProtection="1">
      <alignment horizontal="left" vertical="center" wrapText="1"/>
      <protection locked="0"/>
    </xf>
    <xf numFmtId="176" fontId="18" fillId="13" borderId="24" xfId="111" applyFont="1" applyFill="1" applyBorder="1" applyAlignment="1" applyProtection="1">
      <alignment horizontal="center" vertical="center" wrapText="1"/>
      <protection locked="0"/>
    </xf>
    <xf numFmtId="38" fontId="18" fillId="14" borderId="25" xfId="111" applyNumberFormat="1" applyFont="1" applyFill="1" applyBorder="1" applyAlignment="1" applyProtection="1">
      <alignment horizontal="center" vertical="center" wrapText="1"/>
      <protection locked="0"/>
    </xf>
    <xf numFmtId="176" fontId="18" fillId="13" borderId="26" xfId="109" applyFont="1" applyFill="1" applyBorder="1" applyAlignment="1">
      <alignment horizontal="center" vertical="center"/>
    </xf>
    <xf numFmtId="176" fontId="18" fillId="13" borderId="27" xfId="109" applyFont="1" applyFill="1" applyBorder="1" applyAlignment="1">
      <alignment horizontal="center" vertical="center"/>
    </xf>
    <xf numFmtId="176" fontId="18" fillId="13" borderId="28" xfId="111" applyFont="1" applyFill="1" applyBorder="1" applyAlignment="1" applyProtection="1">
      <alignment horizontal="left" vertical="center" wrapText="1"/>
      <protection locked="0"/>
    </xf>
    <xf numFmtId="176" fontId="18" fillId="13" borderId="28" xfId="111" applyFont="1" applyFill="1" applyBorder="1" applyAlignment="1" applyProtection="1">
      <alignment horizontal="center" vertical="center" wrapText="1"/>
      <protection locked="0"/>
    </xf>
    <xf numFmtId="38" fontId="18" fillId="14" borderId="29" xfId="111" applyNumberFormat="1" applyFont="1" applyFill="1" applyBorder="1" applyAlignment="1" applyProtection="1">
      <alignment horizontal="center" vertical="center" wrapText="1"/>
      <protection locked="0"/>
    </xf>
    <xf numFmtId="49" fontId="18" fillId="15" borderId="26" xfId="109" applyNumberFormat="1" applyFont="1" applyFill="1" applyBorder="1" applyAlignment="1">
      <alignment horizontal="center" vertical="center"/>
    </xf>
    <xf numFmtId="49" fontId="18" fillId="16" borderId="26" xfId="109" applyNumberFormat="1" applyFont="1" applyFill="1" applyBorder="1" applyAlignment="1">
      <alignment horizontal="center" vertical="center"/>
    </xf>
    <xf numFmtId="189" fontId="18" fillId="17" borderId="18" xfId="122" applyNumberFormat="1" applyFont="1" applyFill="1" applyBorder="1" applyAlignment="1">
      <alignment horizontal="center" vertical="center" wrapText="1"/>
    </xf>
    <xf numFmtId="189" fontId="18" fillId="15" borderId="18" xfId="122" applyNumberFormat="1" applyFont="1" applyFill="1" applyBorder="1" applyAlignment="1">
      <alignment horizontal="center" vertical="center" wrapText="1"/>
    </xf>
    <xf numFmtId="189" fontId="18" fillId="16" borderId="18" xfId="122" applyNumberFormat="1" applyFont="1" applyFill="1" applyBorder="1" applyAlignment="1">
      <alignment horizontal="center" vertical="center" wrapText="1"/>
    </xf>
    <xf numFmtId="189" fontId="18" fillId="17" borderId="26" xfId="122" applyNumberFormat="1" applyFont="1" applyFill="1" applyBorder="1" applyAlignment="1">
      <alignment horizontal="center" vertical="center" wrapText="1"/>
    </xf>
    <xf numFmtId="189" fontId="18" fillId="10" borderId="18" xfId="122" applyNumberFormat="1" applyFont="1" applyFill="1" applyBorder="1" applyAlignment="1">
      <alignment horizontal="center" vertical="center" wrapText="1"/>
    </xf>
    <xf numFmtId="189" fontId="18" fillId="8" borderId="18" xfId="122" applyNumberFormat="1" applyFont="1" applyFill="1" applyBorder="1" applyAlignment="1">
      <alignment horizontal="center" vertical="center" wrapText="1"/>
    </xf>
    <xf numFmtId="176" fontId="18" fillId="13" borderId="30" xfId="111" applyFont="1" applyFill="1" applyBorder="1" applyAlignment="1" applyProtection="1">
      <alignment horizontal="left" vertical="center" wrapText="1"/>
      <protection locked="0"/>
    </xf>
    <xf numFmtId="176" fontId="18" fillId="13" borderId="30" xfId="111" applyFont="1" applyFill="1" applyBorder="1" applyAlignment="1" applyProtection="1">
      <alignment horizontal="center" vertical="center" wrapText="1"/>
      <protection locked="0"/>
    </xf>
    <xf numFmtId="176" fontId="19" fillId="2" borderId="18" xfId="111" applyFont="1" applyFill="1" applyBorder="1" applyAlignment="1" applyProtection="1">
      <alignment horizontal="left"/>
      <protection locked="0"/>
    </xf>
    <xf numFmtId="176" fontId="19" fillId="2" borderId="18" xfId="111" applyFont="1" applyFill="1" applyBorder="1" applyAlignment="1" applyProtection="1">
      <alignment horizontal="center"/>
      <protection locked="0"/>
    </xf>
    <xf numFmtId="176" fontId="19" fillId="0" borderId="18" xfId="111" applyFont="1" applyBorder="1" applyAlignment="1" applyProtection="1">
      <alignment horizontal="center"/>
      <protection locked="0"/>
    </xf>
    <xf numFmtId="38" fontId="20" fillId="2" borderId="29" xfId="111" applyNumberFormat="1" applyFont="1" applyFill="1" applyBorder="1" applyAlignment="1" applyProtection="1">
      <alignment horizontal="center"/>
      <protection locked="0"/>
    </xf>
    <xf numFmtId="189" fontId="18" fillId="15" borderId="18" xfId="122" applyNumberFormat="1" applyFont="1" applyFill="1" applyBorder="1" applyAlignment="1">
      <alignment horizontal="right"/>
    </xf>
    <xf numFmtId="187" fontId="18" fillId="16" borderId="18" xfId="109" applyNumberFormat="1" applyFont="1" applyFill="1" applyBorder="1" applyAlignment="1">
      <alignment horizontal="right"/>
    </xf>
    <xf numFmtId="189" fontId="18" fillId="17" borderId="18" xfId="122" applyNumberFormat="1" applyFont="1" applyFill="1" applyBorder="1" applyAlignment="1">
      <alignment horizontal="right"/>
    </xf>
    <xf numFmtId="189" fontId="18" fillId="10" borderId="18" xfId="122" applyNumberFormat="1" applyFont="1" applyFill="1" applyBorder="1" applyAlignment="1">
      <alignment horizontal="right"/>
    </xf>
    <xf numFmtId="189" fontId="18" fillId="8" borderId="18" xfId="122" applyNumberFormat="1" applyFont="1" applyFill="1" applyBorder="1" applyAlignment="1">
      <alignment horizontal="right"/>
    </xf>
    <xf numFmtId="176" fontId="21" fillId="2" borderId="18" xfId="111" applyFont="1" applyFill="1" applyBorder="1" applyAlignment="1" applyProtection="1">
      <alignment horizontal="left"/>
      <protection locked="0"/>
    </xf>
    <xf numFmtId="176" fontId="19" fillId="18" borderId="18" xfId="111" applyFont="1" applyFill="1" applyBorder="1" applyAlignment="1" applyProtection="1">
      <alignment horizontal="left"/>
      <protection locked="0"/>
    </xf>
    <xf numFmtId="176" fontId="18" fillId="19" borderId="18" xfId="111" applyFont="1" applyFill="1" applyBorder="1" applyAlignment="1" applyProtection="1">
      <alignment horizontal="left"/>
      <protection locked="0"/>
    </xf>
    <xf numFmtId="176" fontId="22" fillId="19" borderId="18" xfId="111" applyFont="1" applyFill="1" applyBorder="1" applyAlignment="1" applyProtection="1">
      <alignment horizontal="left"/>
      <protection locked="0"/>
    </xf>
    <xf numFmtId="176" fontId="18" fillId="19" borderId="18" xfId="111" applyFont="1" applyFill="1" applyBorder="1" applyAlignment="1" applyProtection="1">
      <alignment horizontal="center"/>
      <protection locked="0"/>
    </xf>
    <xf numFmtId="38" fontId="18" fillId="19" borderId="29" xfId="111" applyNumberFormat="1" applyFont="1" applyFill="1" applyBorder="1" applyAlignment="1" applyProtection="1">
      <alignment horizontal="center"/>
      <protection locked="0"/>
    </xf>
    <xf numFmtId="189" fontId="18" fillId="19" borderId="18" xfId="122" applyNumberFormat="1" applyFont="1" applyFill="1" applyBorder="1" applyAlignment="1">
      <alignment horizontal="right"/>
    </xf>
    <xf numFmtId="187" fontId="18" fillId="19" borderId="18" xfId="109" applyNumberFormat="1" applyFont="1" applyFill="1" applyBorder="1" applyAlignment="1">
      <alignment horizontal="right"/>
    </xf>
    <xf numFmtId="176" fontId="19" fillId="0" borderId="18" xfId="111" applyFont="1" applyFill="1" applyBorder="1" applyAlignment="1" applyProtection="1">
      <alignment vertical="center"/>
      <protection locked="0"/>
    </xf>
    <xf numFmtId="176" fontId="19" fillId="0" borderId="18" xfId="111" applyFont="1" applyFill="1" applyBorder="1" applyAlignment="1" applyProtection="1">
      <alignment horizontal="left"/>
      <protection locked="0"/>
    </xf>
    <xf numFmtId="176" fontId="23" fillId="2" borderId="18" xfId="111" applyFont="1" applyFill="1" applyBorder="1" applyAlignment="1" applyProtection="1">
      <alignment horizontal="left"/>
      <protection locked="0"/>
    </xf>
    <xf numFmtId="176" fontId="20" fillId="2" borderId="18" xfId="111" applyFont="1" applyFill="1" applyBorder="1" applyAlignment="1" applyProtection="1">
      <alignment horizontal="center"/>
      <protection locked="0"/>
    </xf>
    <xf numFmtId="176" fontId="24" fillId="2" borderId="18" xfId="111" applyFont="1" applyFill="1" applyBorder="1" applyAlignment="1" applyProtection="1">
      <alignment horizontal="left"/>
      <protection locked="0"/>
    </xf>
    <xf numFmtId="176" fontId="24" fillId="2" borderId="26" xfId="111" applyFont="1" applyFill="1" applyBorder="1" applyAlignment="1" applyProtection="1">
      <alignment horizontal="left"/>
      <protection locked="0"/>
    </xf>
    <xf numFmtId="176" fontId="24" fillId="2" borderId="18" xfId="111" applyFont="1" applyFill="1" applyBorder="1" applyAlignment="1" applyProtection="1">
      <protection locked="0"/>
    </xf>
    <xf numFmtId="176" fontId="19" fillId="0" borderId="18" xfId="111" applyFont="1" applyFill="1" applyBorder="1" applyAlignment="1" applyProtection="1">
      <alignment horizontal="center"/>
      <protection locked="0"/>
    </xf>
    <xf numFmtId="176" fontId="24" fillId="0" borderId="18" xfId="111" applyFont="1" applyFill="1" applyBorder="1" applyAlignment="1" applyProtection="1">
      <alignment horizontal="center"/>
      <protection locked="0"/>
    </xf>
    <xf numFmtId="38" fontId="18" fillId="19" borderId="18" xfId="111" applyNumberFormat="1" applyFont="1" applyFill="1" applyBorder="1" applyAlignment="1" applyProtection="1">
      <alignment horizontal="center"/>
      <protection locked="0"/>
    </xf>
    <xf numFmtId="176" fontId="19" fillId="0" borderId="18" xfId="111" applyNumberFormat="1" applyFont="1" applyFill="1" applyBorder="1" applyAlignment="1" applyProtection="1">
      <alignment horizontal="left" vertical="center"/>
      <protection locked="0"/>
    </xf>
    <xf numFmtId="176" fontId="24" fillId="0" borderId="18" xfId="111" applyNumberFormat="1" applyFont="1" applyBorder="1" applyAlignment="1" applyProtection="1">
      <alignment horizontal="left" vertical="center"/>
      <protection locked="0"/>
    </xf>
    <xf numFmtId="176" fontId="19" fillId="2" borderId="18" xfId="111" applyNumberFormat="1" applyFont="1" applyFill="1" applyBorder="1" applyAlignment="1" applyProtection="1">
      <alignment horizontal="left" vertical="center"/>
      <protection locked="0"/>
    </xf>
    <xf numFmtId="176" fontId="24" fillId="0" borderId="18" xfId="111" applyFont="1" applyBorder="1" applyAlignment="1" applyProtection="1">
      <alignment horizontal="left" vertical="center"/>
      <protection locked="0"/>
    </xf>
    <xf numFmtId="176" fontId="24" fillId="0" borderId="18" xfId="111" applyFont="1" applyBorder="1" applyAlignment="1" applyProtection="1">
      <alignment horizontal="left"/>
      <protection locked="0"/>
    </xf>
    <xf numFmtId="176" fontId="20" fillId="2" borderId="18" xfId="111" applyFont="1" applyFill="1" applyBorder="1" applyAlignment="1" applyProtection="1">
      <alignment horizontal="left"/>
      <protection locked="0"/>
    </xf>
    <xf numFmtId="176" fontId="24" fillId="0" borderId="18" xfId="111" applyFont="1" applyFill="1" applyBorder="1" applyAlignment="1" applyProtection="1">
      <alignment horizontal="left"/>
      <protection locked="0"/>
    </xf>
    <xf numFmtId="176" fontId="24" fillId="0" borderId="18" xfId="111" applyFont="1" applyBorder="1" applyAlignment="1" applyProtection="1">
      <alignment horizontal="center"/>
      <protection locked="0"/>
    </xf>
    <xf numFmtId="176" fontId="23" fillId="2" borderId="18" xfId="111" applyFont="1" applyFill="1" applyBorder="1" applyAlignment="1" applyProtection="1">
      <alignment horizontal="center"/>
      <protection locked="0"/>
    </xf>
    <xf numFmtId="176" fontId="24" fillId="14" borderId="18" xfId="111" applyFont="1" applyFill="1" applyBorder="1" applyAlignment="1" applyProtection="1">
      <alignment horizontal="left"/>
      <protection locked="0"/>
    </xf>
    <xf numFmtId="176" fontId="18" fillId="19" borderId="20" xfId="111" applyFont="1" applyFill="1" applyBorder="1" applyAlignment="1" applyProtection="1">
      <alignment vertical="center"/>
      <protection locked="0"/>
    </xf>
    <xf numFmtId="176" fontId="18" fillId="19" borderId="26" xfId="111" applyFont="1" applyFill="1" applyBorder="1" applyAlignment="1" applyProtection="1">
      <alignment vertical="center"/>
      <protection locked="0"/>
    </xf>
    <xf numFmtId="38" fontId="18" fillId="19" borderId="18" xfId="109" applyNumberFormat="1" applyFont="1" applyFill="1" applyBorder="1" applyAlignment="1">
      <alignment horizontal="center"/>
    </xf>
    <xf numFmtId="176" fontId="23" fillId="2" borderId="26" xfId="111" applyFont="1" applyFill="1" applyBorder="1" applyAlignment="1" applyProtection="1">
      <alignment horizontal="left"/>
      <protection locked="0"/>
    </xf>
    <xf numFmtId="176" fontId="23" fillId="2" borderId="18" xfId="111" applyFont="1" applyFill="1" applyBorder="1" applyAlignment="1" applyProtection="1">
      <protection locked="0"/>
    </xf>
    <xf numFmtId="190" fontId="15" fillId="2" borderId="18" xfId="0" applyNumberFormat="1" applyFont="1" applyFill="1" applyBorder="1" applyAlignment="1" applyProtection="1">
      <alignment horizontal="left" vertical="center"/>
    </xf>
    <xf numFmtId="190" fontId="15" fillId="2" borderId="18" xfId="0" applyNumberFormat="1" applyFont="1" applyFill="1" applyBorder="1" applyAlignment="1" applyProtection="1">
      <alignment horizontal="left" vertical="center" wrapText="1"/>
    </xf>
    <xf numFmtId="176" fontId="25" fillId="2" borderId="18" xfId="111" applyFont="1" applyFill="1" applyBorder="1" applyAlignment="1" applyProtection="1">
      <protection locked="0"/>
    </xf>
    <xf numFmtId="176" fontId="25" fillId="2" borderId="26" xfId="111" applyFont="1" applyFill="1" applyBorder="1" applyAlignment="1" applyProtection="1">
      <alignment horizontal="left"/>
      <protection locked="0"/>
    </xf>
    <xf numFmtId="176" fontId="26" fillId="2" borderId="18" xfId="111" applyFont="1" applyFill="1" applyBorder="1" applyAlignment="1" applyProtection="1">
      <alignment horizontal="left"/>
      <protection locked="0"/>
    </xf>
    <xf numFmtId="190" fontId="15" fillId="2" borderId="18" xfId="0" applyNumberFormat="1" applyFont="1" applyFill="1" applyBorder="1" applyAlignment="1" applyProtection="1">
      <alignment horizontal="center" vertical="center"/>
    </xf>
    <xf numFmtId="176" fontId="20" fillId="2" borderId="26" xfId="111" applyFont="1" applyFill="1" applyBorder="1" applyAlignment="1" applyProtection="1">
      <alignment horizontal="left"/>
      <protection locked="0"/>
    </xf>
    <xf numFmtId="176" fontId="23" fillId="2" borderId="18" xfId="111" applyNumberFormat="1" applyFont="1" applyFill="1" applyBorder="1" applyAlignment="1" applyProtection="1">
      <alignment horizontal="left" vertical="center"/>
      <protection locked="0"/>
    </xf>
    <xf numFmtId="176" fontId="18" fillId="20" borderId="20" xfId="111" applyFont="1" applyFill="1" applyBorder="1" applyAlignment="1" applyProtection="1">
      <alignment horizontal="right" vertical="center"/>
      <protection locked="0"/>
    </xf>
    <xf numFmtId="176" fontId="18" fillId="20" borderId="26" xfId="111" applyFont="1" applyFill="1" applyBorder="1" applyAlignment="1" applyProtection="1">
      <alignment horizontal="right" vertical="center"/>
      <protection locked="0"/>
    </xf>
    <xf numFmtId="38" fontId="18" fillId="20" borderId="31" xfId="111" applyNumberFormat="1" applyFont="1" applyFill="1" applyBorder="1" applyAlignment="1" applyProtection="1">
      <alignment horizontal="right" vertical="center"/>
    </xf>
    <xf numFmtId="189" fontId="18" fillId="20" borderId="18" xfId="122" applyNumberFormat="1" applyFont="1" applyFill="1" applyBorder="1" applyAlignment="1">
      <alignment horizontal="right"/>
    </xf>
  </cellXfs>
  <cellStyles count="13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0,0_x000d__x000a_NA_x000d__x000a_ 2" xfId="49"/>
    <cellStyle name="20% - 强调文字颜色 1 2 2" xfId="50"/>
    <cellStyle name="20% - 强调文字颜色 2 2" xfId="51"/>
    <cellStyle name="20% - 强调文字颜色 3 2" xfId="52"/>
    <cellStyle name="20% - 强调文字颜色 4 2" xfId="53"/>
    <cellStyle name="20% - 强调文字颜色 5 2" xfId="54"/>
    <cellStyle name="20% - 强调文字颜色 6 2" xfId="55"/>
    <cellStyle name="40% - 强调文字颜色 1 2" xfId="56"/>
    <cellStyle name="40% - 强调文字颜色 2 2" xfId="57"/>
    <cellStyle name="40% - 强调文字颜色 3 2" xfId="58"/>
    <cellStyle name="40% - 强调文字颜色 4 2" xfId="59"/>
    <cellStyle name="40% - 强调文字颜色 5 2" xfId="60"/>
    <cellStyle name="40% - 强调文字颜色 6 2" xfId="61"/>
    <cellStyle name="60% - 强调文字颜色 1 2" xfId="62"/>
    <cellStyle name="60% - 强调文字颜色 2 2" xfId="63"/>
    <cellStyle name="60% - 强调文字颜色 3 2" xfId="64"/>
    <cellStyle name="60% - 强调文字颜色 4 2" xfId="65"/>
    <cellStyle name="60% - 强调文字颜色 5 2" xfId="66"/>
    <cellStyle name="60% - 强调文字颜色 6 2" xfId="67"/>
    <cellStyle name="Action" xfId="68"/>
    <cellStyle name="BarChartGenerator" xfId="69"/>
    <cellStyle name="Button" xfId="70"/>
    <cellStyle name="Columnleft" xfId="71"/>
    <cellStyle name="ColumnleftTotal" xfId="72"/>
    <cellStyle name="Columnright" xfId="73"/>
    <cellStyle name="ColumnrightTotal" xfId="74"/>
    <cellStyle name="Currency (0)" xfId="75"/>
    <cellStyle name="Currency Euro" xfId="76"/>
    <cellStyle name="Currency GBP" xfId="77"/>
    <cellStyle name="Currency USD" xfId="78"/>
    <cellStyle name="Data(0.00)" xfId="79"/>
    <cellStyle name="DataWriteback" xfId="80"/>
    <cellStyle name="Decimal" xfId="81"/>
    <cellStyle name="Decimal (0)" xfId="82"/>
    <cellStyle name="Dimensions" xfId="83"/>
    <cellStyle name="ElementSelection" xfId="84"/>
    <cellStyle name="Forecast" xfId="85"/>
    <cellStyle name="Gray_Backgound" xfId="86"/>
    <cellStyle name="Icon_Add" xfId="87"/>
    <cellStyle name="KPI_Arrow_down" xfId="88"/>
    <cellStyle name="Label" xfId="89"/>
    <cellStyle name="LabelGray" xfId="90"/>
    <cellStyle name="LeafElement" xfId="91"/>
    <cellStyle name="Normal_Prépa EMEA demand plan W20_HZ_bis" xfId="92"/>
    <cellStyle name="Row" xfId="93"/>
    <cellStyle name="Standard_1" xfId="94"/>
    <cellStyle name="Subtitle" xfId="95"/>
    <cellStyle name="topToolbar" xfId="96"/>
    <cellStyle name="Variance" xfId="97"/>
    <cellStyle name="Variance%" xfId="98"/>
    <cellStyle name="百分比 15" xfId="99"/>
    <cellStyle name="百分比 2" xfId="100"/>
    <cellStyle name="百分比 2 2" xfId="101"/>
    <cellStyle name="标题 1 2" xfId="102"/>
    <cellStyle name="标题 2 2" xfId="103"/>
    <cellStyle name="标题 3 2" xfId="104"/>
    <cellStyle name="标题 4 2" xfId="105"/>
    <cellStyle name="标题 5" xfId="106"/>
    <cellStyle name="差 2" xfId="107"/>
    <cellStyle name="常规 10" xfId="108"/>
    <cellStyle name="常规 2" xfId="109"/>
    <cellStyle name="常规 2 2" xfId="110"/>
    <cellStyle name="常规 3 2" xfId="111"/>
    <cellStyle name="常规 3 4" xfId="112"/>
    <cellStyle name="常规 3 6" xfId="113"/>
    <cellStyle name="常规 5" xfId="114"/>
    <cellStyle name="好 2" xfId="115"/>
    <cellStyle name="汇总 2" xfId="116"/>
    <cellStyle name="计算 2" xfId="117"/>
    <cellStyle name="检查单元格 2" xfId="118"/>
    <cellStyle name="解释性文本 2" xfId="119"/>
    <cellStyle name="警告文本 2" xfId="120"/>
    <cellStyle name="链接单元格 2" xfId="121"/>
    <cellStyle name="千位分隔 20" xfId="122"/>
    <cellStyle name="强调文字颜色 1 2" xfId="123"/>
    <cellStyle name="强调文字颜色 2 2" xfId="124"/>
    <cellStyle name="强调文字颜色 3 2" xfId="125"/>
    <cellStyle name="强调文字颜色 4 2" xfId="126"/>
    <cellStyle name="强调文字颜色 5 2" xfId="127"/>
    <cellStyle name="强调文字颜色 6 2" xfId="128"/>
    <cellStyle name="适中 2" xfId="129"/>
    <cellStyle name="输出 2" xfId="130"/>
    <cellStyle name="输入 2" xfId="131"/>
    <cellStyle name="注释 2" xfId="132"/>
  </cellStyles>
  <dxfs count="5">
    <dxf>
      <font>
        <color rgb="FFFF0000"/>
      </font>
      <numFmt numFmtId="9" formatCode="0%"/>
    </dxf>
    <dxf>
      <font>
        <color theme="1"/>
      </font>
    </dxf>
    <dxf>
      <font>
        <color rgb="FFFF0000"/>
      </font>
    </dxf>
    <dxf>
      <font>
        <color rgb="FFFF0000"/>
      </font>
      <numFmt numFmtId="191" formatCode="0.00_ "/>
    </dxf>
    <dxf>
      <font>
        <color rgb="FF9C0006"/>
      </font>
    </dxf>
  </dxfs>
  <tableStyles count="0" defaultTableStyle="TableStyleMedium2" defaultPivotStyle="PivotStyleLight16"/>
  <colors>
    <mruColors>
      <color rgb="00FF505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en-US" altLang="zh-CN" sz="1200" b="1" baseline="0">
                <a:solidFill>
                  <a:schemeClr val="accent1">
                    <a:lumMod val="7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Featurephone</a:t>
            </a:r>
            <a:r>
              <a:rPr lang="zh-CN" altLang="en-US" sz="1200" b="1" baseline="0">
                <a:latin typeface="微软雅黑" panose="020B0503020204020204" pitchFamily="34" charset="-122"/>
                <a:ea typeface="微软雅黑" panose="020B0503020204020204" pitchFamily="34" charset="-122"/>
              </a:rPr>
              <a:t> </a:t>
            </a:r>
            <a:r>
              <a:rPr lang="en-US" altLang="zh-CN" sz="1200" b="1" baseline="0">
                <a:latin typeface="微软雅黑" panose="020B0503020204020204" pitchFamily="34" charset="-122"/>
                <a:ea typeface="微软雅黑" panose="020B0503020204020204" pitchFamily="34" charset="-122"/>
              </a:rPr>
              <a:t>vs</a:t>
            </a:r>
            <a:r>
              <a:rPr lang="en-US" altLang="zh-CN" sz="1200" b="1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. </a:t>
            </a:r>
            <a:r>
              <a:rPr lang="en-US" altLang="zh-CN" sz="1200" b="1" baseline="0">
                <a:solidFill>
                  <a:schemeClr val="accent2">
                    <a:lumMod val="7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Smartphone </a:t>
            </a:r>
            <a:r>
              <a:rPr lang="en-US" altLang="zh-CN" sz="1200" b="1" i="0" u="none" strike="noStrike" baseline="0">
                <a:effectLst/>
              </a:rPr>
              <a:t>vs.  </a:t>
            </a:r>
            <a:r>
              <a:rPr lang="en-US" altLang="zh-CN" sz="1200" b="1" i="0" u="none" strike="noStrike" baseline="0">
                <a:solidFill>
                  <a:schemeClr val="accent6"/>
                </a:solidFill>
                <a:effectLst/>
              </a:rPr>
              <a:t>PAD</a:t>
            </a:r>
            <a:r>
              <a:rPr lang="en-US" altLang="zh-CN" sz="1200" b="1" baseline="0">
                <a:solidFill>
                  <a:schemeClr val="accent6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 </a:t>
            </a:r>
            <a:endParaRPr lang="zh-CN" altLang="en-US" sz="1200" b="1">
              <a:solidFill>
                <a:schemeClr val="accent6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c:rich>
      </c:tx>
      <c:layout>
        <c:manualLayout>
          <c:xMode val="edge"/>
          <c:yMode val="edge"/>
          <c:x val="0.0052313553651934"/>
          <c:y val="0.0311243995686697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</c:title>
    <c:autoTitleDeleted val="0"/>
    <c:plotArea>
      <c:layout/>
      <c:barChart>
        <c:barDir val="col"/>
        <c:grouping val="percentStacked"/>
        <c:varyColors val="0"/>
        <c:ser>
          <c:idx val="1"/>
          <c:order val="0"/>
          <c:tx>
            <c:strRef>
              <c:f>数量汇总!$B$34</c:f>
              <c:strCache>
                <c:ptCount val="1"/>
                <c:pt idx="0">
                  <c:v>FP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数量汇总!$C$33:$Z$33</c:f>
              <c:strCache>
                <c:ptCount val="24"/>
                <c:pt idx="0" c:formatCode="#,##0_ ">
                  <c:v>1月分解</c:v>
                </c:pt>
                <c:pt idx="1" c:formatCode="#,##0_ ">
                  <c:v>1月实际</c:v>
                </c:pt>
                <c:pt idx="2" c:formatCode="#,##0_ ">
                  <c:v>2月分解</c:v>
                </c:pt>
                <c:pt idx="3" c:formatCode="#,##0_ ">
                  <c:v>2月实际</c:v>
                </c:pt>
                <c:pt idx="4" c:formatCode="#,##0_ ">
                  <c:v>3月分解</c:v>
                </c:pt>
                <c:pt idx="5" c:formatCode="#,##0_ ">
                  <c:v>3月实际</c:v>
                </c:pt>
                <c:pt idx="6" c:formatCode="#,##0_ ">
                  <c:v>4月分解</c:v>
                </c:pt>
                <c:pt idx="7" c:formatCode="#,##0_ ">
                  <c:v>4月实际</c:v>
                </c:pt>
                <c:pt idx="8" c:formatCode="#,##0_ ">
                  <c:v>5月分解</c:v>
                </c:pt>
                <c:pt idx="9" c:formatCode="#,##0_ ">
                  <c:v>5月实际</c:v>
                </c:pt>
                <c:pt idx="10" c:formatCode="#,##0_ ">
                  <c:v>6月分解</c:v>
                </c:pt>
                <c:pt idx="11" c:formatCode="#,##0_ ">
                  <c:v>6月实际</c:v>
                </c:pt>
                <c:pt idx="12" c:formatCode="#,##0_ ">
                  <c:v>7月分解</c:v>
                </c:pt>
                <c:pt idx="13" c:formatCode="#,##0_ ">
                  <c:v>7月实际</c:v>
                </c:pt>
                <c:pt idx="14" c:formatCode="#,##0_ ">
                  <c:v>8月分解</c:v>
                </c:pt>
                <c:pt idx="15" c:formatCode="#,##0_ ">
                  <c:v>8月实际</c:v>
                </c:pt>
                <c:pt idx="16" c:formatCode="#,##0_ ">
                  <c:v>9月分解</c:v>
                </c:pt>
                <c:pt idx="17" c:formatCode="#,##0_ ">
                  <c:v>9月实际</c:v>
                </c:pt>
                <c:pt idx="18" c:formatCode="#,##0_ ">
                  <c:v>10月分解</c:v>
                </c:pt>
                <c:pt idx="19" c:formatCode="#,##0_ ">
                  <c:v>10月实际</c:v>
                </c:pt>
                <c:pt idx="20" c:formatCode="#,##0_ ">
                  <c:v>11月分解</c:v>
                </c:pt>
                <c:pt idx="21" c:formatCode="#,##0_ ">
                  <c:v>11月实际</c:v>
                </c:pt>
                <c:pt idx="22" c:formatCode="#,##0_ ">
                  <c:v>12月分解</c:v>
                </c:pt>
                <c:pt idx="23" c:formatCode="#,##0_ ">
                  <c:v>12月实际</c:v>
                </c:pt>
              </c:strCache>
            </c:strRef>
          </c:cat>
          <c:val>
            <c:numRef>
              <c:f>数量汇总!$C$34:$Y$34</c:f>
              <c:numCache>
                <c:formatCode>#,##0_);[Red]\(#,##0\)</c:formatCode>
                <c:ptCount val="23"/>
                <c:pt idx="0">
                  <c:v>1460000</c:v>
                </c:pt>
                <c:pt idx="1">
                  <c:v>1613262</c:v>
                </c:pt>
                <c:pt idx="2">
                  <c:v>1355000</c:v>
                </c:pt>
                <c:pt idx="3">
                  <c:v>930376</c:v>
                </c:pt>
                <c:pt idx="4">
                  <c:v>1255000</c:v>
                </c:pt>
                <c:pt idx="5">
                  <c:v>943772</c:v>
                </c:pt>
                <c:pt idx="6">
                  <c:v>1250000</c:v>
                </c:pt>
                <c:pt idx="7">
                  <c:v>821378</c:v>
                </c:pt>
                <c:pt idx="8">
                  <c:v>1320000</c:v>
                </c:pt>
                <c:pt idx="9">
                  <c:v>1095490</c:v>
                </c:pt>
                <c:pt idx="10">
                  <c:v>1350000</c:v>
                </c:pt>
                <c:pt idx="11">
                  <c:v>724562</c:v>
                </c:pt>
                <c:pt idx="12">
                  <c:v>1640000</c:v>
                </c:pt>
                <c:pt idx="13">
                  <c:v>851544</c:v>
                </c:pt>
                <c:pt idx="14">
                  <c:v>1560000</c:v>
                </c:pt>
                <c:pt idx="15">
                  <c:v>769702</c:v>
                </c:pt>
                <c:pt idx="16">
                  <c:v>1660000</c:v>
                </c:pt>
                <c:pt idx="17">
                  <c:v>1137450</c:v>
                </c:pt>
                <c:pt idx="18">
                  <c:v>1710000</c:v>
                </c:pt>
                <c:pt idx="19">
                  <c:v>1219616</c:v>
                </c:pt>
                <c:pt idx="20">
                  <c:v>946000</c:v>
                </c:pt>
                <c:pt idx="21">
                  <c:v>1481084</c:v>
                </c:pt>
                <c:pt idx="22">
                  <c:v>903000</c:v>
                </c:pt>
              </c:numCache>
            </c:numRef>
          </c:val>
        </c:ser>
        <c:ser>
          <c:idx val="2"/>
          <c:order val="1"/>
          <c:tx>
            <c:strRef>
              <c:f>数量汇总!$B$35</c:f>
              <c:strCache>
                <c:ptCount val="1"/>
                <c:pt idx="0">
                  <c:v>PAD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accent6"/>
              </a:solidFill>
            </a:ln>
            <a:effectLst/>
          </c:spPr>
          <c:invertIfNegative val="0"/>
          <c:dLbls>
            <c:delete val="1"/>
          </c:dLbls>
          <c:cat>
            <c:strRef>
              <c:f>数量汇总!$C$33:$Z$33</c:f>
              <c:strCache>
                <c:ptCount val="24"/>
                <c:pt idx="0" c:formatCode="#,##0_ ">
                  <c:v>1月分解</c:v>
                </c:pt>
                <c:pt idx="1" c:formatCode="#,##0_ ">
                  <c:v>1月实际</c:v>
                </c:pt>
                <c:pt idx="2" c:formatCode="#,##0_ ">
                  <c:v>2月分解</c:v>
                </c:pt>
                <c:pt idx="3" c:formatCode="#,##0_ ">
                  <c:v>2月实际</c:v>
                </c:pt>
                <c:pt idx="4" c:formatCode="#,##0_ ">
                  <c:v>3月分解</c:v>
                </c:pt>
                <c:pt idx="5" c:formatCode="#,##0_ ">
                  <c:v>3月实际</c:v>
                </c:pt>
                <c:pt idx="6" c:formatCode="#,##0_ ">
                  <c:v>4月分解</c:v>
                </c:pt>
                <c:pt idx="7" c:formatCode="#,##0_ ">
                  <c:v>4月实际</c:v>
                </c:pt>
                <c:pt idx="8" c:formatCode="#,##0_ ">
                  <c:v>5月分解</c:v>
                </c:pt>
                <c:pt idx="9" c:formatCode="#,##0_ ">
                  <c:v>5月实际</c:v>
                </c:pt>
                <c:pt idx="10" c:formatCode="#,##0_ ">
                  <c:v>6月分解</c:v>
                </c:pt>
                <c:pt idx="11" c:formatCode="#,##0_ ">
                  <c:v>6月实际</c:v>
                </c:pt>
                <c:pt idx="12" c:formatCode="#,##0_ ">
                  <c:v>7月分解</c:v>
                </c:pt>
                <c:pt idx="13" c:formatCode="#,##0_ ">
                  <c:v>7月实际</c:v>
                </c:pt>
                <c:pt idx="14" c:formatCode="#,##0_ ">
                  <c:v>8月分解</c:v>
                </c:pt>
                <c:pt idx="15" c:formatCode="#,##0_ ">
                  <c:v>8月实际</c:v>
                </c:pt>
                <c:pt idx="16" c:formatCode="#,##0_ ">
                  <c:v>9月分解</c:v>
                </c:pt>
                <c:pt idx="17" c:formatCode="#,##0_ ">
                  <c:v>9月实际</c:v>
                </c:pt>
                <c:pt idx="18" c:formatCode="#,##0_ ">
                  <c:v>10月分解</c:v>
                </c:pt>
                <c:pt idx="19" c:formatCode="#,##0_ ">
                  <c:v>10月实际</c:v>
                </c:pt>
                <c:pt idx="20" c:formatCode="#,##0_ ">
                  <c:v>11月分解</c:v>
                </c:pt>
                <c:pt idx="21" c:formatCode="#,##0_ ">
                  <c:v>11月实际</c:v>
                </c:pt>
                <c:pt idx="22" c:formatCode="#,##0_ ">
                  <c:v>12月分解</c:v>
                </c:pt>
                <c:pt idx="23" c:formatCode="#,##0_ ">
                  <c:v>12月实际</c:v>
                </c:pt>
              </c:strCache>
            </c:strRef>
          </c:cat>
          <c:val>
            <c:numRef>
              <c:f>数量汇总!$C$35:$Y$35</c:f>
              <c:numCache>
                <c:formatCode>#,##0_);[Red]\(#,##0\)</c:formatCode>
                <c:ptCount val="23"/>
                <c:pt idx="0">
                  <c:v>93988</c:v>
                </c:pt>
                <c:pt idx="1">
                  <c:v>97896</c:v>
                </c:pt>
                <c:pt idx="2">
                  <c:v>88904</c:v>
                </c:pt>
                <c:pt idx="3">
                  <c:v>100660</c:v>
                </c:pt>
                <c:pt idx="4">
                  <c:v>117380</c:v>
                </c:pt>
                <c:pt idx="5">
                  <c:v>101294</c:v>
                </c:pt>
                <c:pt idx="6">
                  <c:v>70473</c:v>
                </c:pt>
                <c:pt idx="7">
                  <c:v>62952</c:v>
                </c:pt>
                <c:pt idx="8">
                  <c:v>90000</c:v>
                </c:pt>
                <c:pt idx="9">
                  <c:v>92918</c:v>
                </c:pt>
                <c:pt idx="10">
                  <c:v>85000</c:v>
                </c:pt>
                <c:pt idx="11">
                  <c:v>112620</c:v>
                </c:pt>
                <c:pt idx="12">
                  <c:v>75000</c:v>
                </c:pt>
                <c:pt idx="13">
                  <c:v>178550</c:v>
                </c:pt>
                <c:pt idx="14">
                  <c:v>79000</c:v>
                </c:pt>
                <c:pt idx="15">
                  <c:v>321840</c:v>
                </c:pt>
                <c:pt idx="16">
                  <c:v>70000</c:v>
                </c:pt>
                <c:pt idx="17">
                  <c:v>300266</c:v>
                </c:pt>
                <c:pt idx="18">
                  <c:v>71000</c:v>
                </c:pt>
                <c:pt idx="19">
                  <c:v>121740</c:v>
                </c:pt>
                <c:pt idx="20">
                  <c:v>87965</c:v>
                </c:pt>
                <c:pt idx="21">
                  <c:v>94594</c:v>
                </c:pt>
                <c:pt idx="22">
                  <c:v>70000</c:v>
                </c:pt>
              </c:numCache>
            </c:numRef>
          </c:val>
        </c:ser>
        <c:ser>
          <c:idx val="0"/>
          <c:order val="2"/>
          <c:tx>
            <c:strRef>
              <c:f>数量汇总!$B$36</c:f>
              <c:strCache>
                <c:ptCount val="1"/>
                <c:pt idx="0">
                  <c:v>SP</c:v>
                </c:pt>
              </c:strCache>
            </c:strRef>
          </c:tx>
          <c:spPr>
            <a:solidFill>
              <a:srgbClr val="EB752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数量汇总!$C$33:$Z$33</c:f>
              <c:strCache>
                <c:ptCount val="24"/>
                <c:pt idx="0" c:formatCode="#,##0_ ">
                  <c:v>1月分解</c:v>
                </c:pt>
                <c:pt idx="1" c:formatCode="#,##0_ ">
                  <c:v>1月实际</c:v>
                </c:pt>
                <c:pt idx="2" c:formatCode="#,##0_ ">
                  <c:v>2月分解</c:v>
                </c:pt>
                <c:pt idx="3" c:formatCode="#,##0_ ">
                  <c:v>2月实际</c:v>
                </c:pt>
                <c:pt idx="4" c:formatCode="#,##0_ ">
                  <c:v>3月分解</c:v>
                </c:pt>
                <c:pt idx="5" c:formatCode="#,##0_ ">
                  <c:v>3月实际</c:v>
                </c:pt>
                <c:pt idx="6" c:formatCode="#,##0_ ">
                  <c:v>4月分解</c:v>
                </c:pt>
                <c:pt idx="7" c:formatCode="#,##0_ ">
                  <c:v>4月实际</c:v>
                </c:pt>
                <c:pt idx="8" c:formatCode="#,##0_ ">
                  <c:v>5月分解</c:v>
                </c:pt>
                <c:pt idx="9" c:formatCode="#,##0_ ">
                  <c:v>5月实际</c:v>
                </c:pt>
                <c:pt idx="10" c:formatCode="#,##0_ ">
                  <c:v>6月分解</c:v>
                </c:pt>
                <c:pt idx="11" c:formatCode="#,##0_ ">
                  <c:v>6月实际</c:v>
                </c:pt>
                <c:pt idx="12" c:formatCode="#,##0_ ">
                  <c:v>7月分解</c:v>
                </c:pt>
                <c:pt idx="13" c:formatCode="#,##0_ ">
                  <c:v>7月实际</c:v>
                </c:pt>
                <c:pt idx="14" c:formatCode="#,##0_ ">
                  <c:v>8月分解</c:v>
                </c:pt>
                <c:pt idx="15" c:formatCode="#,##0_ ">
                  <c:v>8月实际</c:v>
                </c:pt>
                <c:pt idx="16" c:formatCode="#,##0_ ">
                  <c:v>9月分解</c:v>
                </c:pt>
                <c:pt idx="17" c:formatCode="#,##0_ ">
                  <c:v>9月实际</c:v>
                </c:pt>
                <c:pt idx="18" c:formatCode="#,##0_ ">
                  <c:v>10月分解</c:v>
                </c:pt>
                <c:pt idx="19" c:formatCode="#,##0_ ">
                  <c:v>10月实际</c:v>
                </c:pt>
                <c:pt idx="20" c:formatCode="#,##0_ ">
                  <c:v>11月分解</c:v>
                </c:pt>
                <c:pt idx="21" c:formatCode="#,##0_ ">
                  <c:v>11月实际</c:v>
                </c:pt>
                <c:pt idx="22" c:formatCode="#,##0_ ">
                  <c:v>12月分解</c:v>
                </c:pt>
                <c:pt idx="23" c:formatCode="#,##0_ ">
                  <c:v>12月实际</c:v>
                </c:pt>
              </c:strCache>
            </c:strRef>
          </c:cat>
          <c:val>
            <c:numRef>
              <c:f>数量汇总!$C$36:$Y$36</c:f>
              <c:numCache>
                <c:formatCode>#,##0_);[Red]\(#,##0\)</c:formatCode>
                <c:ptCount val="23"/>
                <c:pt idx="0">
                  <c:v>575883</c:v>
                </c:pt>
                <c:pt idx="1">
                  <c:v>542057</c:v>
                </c:pt>
                <c:pt idx="2">
                  <c:v>331044</c:v>
                </c:pt>
                <c:pt idx="3">
                  <c:v>338076</c:v>
                </c:pt>
                <c:pt idx="4">
                  <c:v>600713</c:v>
                </c:pt>
                <c:pt idx="5">
                  <c:v>506109</c:v>
                </c:pt>
                <c:pt idx="6">
                  <c:v>343258</c:v>
                </c:pt>
                <c:pt idx="7">
                  <c:v>430182</c:v>
                </c:pt>
                <c:pt idx="8">
                  <c:v>925000</c:v>
                </c:pt>
                <c:pt idx="9">
                  <c:v>683925</c:v>
                </c:pt>
                <c:pt idx="10">
                  <c:v>860000</c:v>
                </c:pt>
                <c:pt idx="11">
                  <c:v>788295</c:v>
                </c:pt>
                <c:pt idx="12">
                  <c:v>1135000</c:v>
                </c:pt>
                <c:pt idx="13">
                  <c:v>950878</c:v>
                </c:pt>
                <c:pt idx="14">
                  <c:v>1265000</c:v>
                </c:pt>
                <c:pt idx="15">
                  <c:v>878535</c:v>
                </c:pt>
                <c:pt idx="16">
                  <c:v>1277422</c:v>
                </c:pt>
                <c:pt idx="17">
                  <c:v>1523332</c:v>
                </c:pt>
                <c:pt idx="18">
                  <c:v>1285000</c:v>
                </c:pt>
                <c:pt idx="19">
                  <c:v>816412</c:v>
                </c:pt>
                <c:pt idx="20">
                  <c:v>1135000</c:v>
                </c:pt>
                <c:pt idx="21">
                  <c:v>848614</c:v>
                </c:pt>
                <c:pt idx="22">
                  <c:v>1137750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241234288"/>
        <c:axId val="1241228848"/>
      </c:barChart>
      <c:catAx>
        <c:axId val="124123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41228848"/>
        <c:crosses val="autoZero"/>
        <c:auto val="0"/>
        <c:lblAlgn val="ctr"/>
        <c:lblOffset val="100"/>
        <c:noMultiLvlLbl val="1"/>
      </c:catAx>
      <c:valAx>
        <c:axId val="124122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41234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7826359103486"/>
          <c:y val="0.049501330926622"/>
          <c:w val="0.15547236305691"/>
          <c:h val="0.1097212891697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b04cc60-0086-4098-99c3-6423ba39a9b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1" i="0" baseline="0">
                <a:effectLst/>
              </a:rPr>
              <a:t>CBU</a:t>
            </a:r>
            <a:r>
              <a:rPr lang="zh-CN" altLang="zh-CN" sz="1800" b="1" i="0" baseline="0">
                <a:effectLst/>
              </a:rPr>
              <a:t> </a:t>
            </a:r>
            <a:r>
              <a:rPr lang="en-US" altLang="zh-CN" sz="1800" b="1" i="0" baseline="0">
                <a:effectLst/>
              </a:rPr>
              <a:t>vs. SKD vs. CKD</a:t>
            </a:r>
            <a:endParaRPr lang="zh-CN" altLang="zh-CN">
              <a:effectLst/>
            </a:endParaRPr>
          </a:p>
        </c:rich>
      </c:tx>
      <c:layout>
        <c:manualLayout>
          <c:xMode val="edge"/>
          <c:yMode val="edge"/>
          <c:x val="0.0153332357900509"/>
          <c:y val="0.022335636616851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27196974644809"/>
          <c:y val="0.212109057796347"/>
          <c:w val="0.868726792521358"/>
          <c:h val="0.37136729337404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数量汇总!$AF$34</c:f>
              <c:strCache>
                <c:ptCount val="1"/>
                <c:pt idx="0">
                  <c:v>CBU/FP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数量汇总!$AG$33:$AR$33</c:f>
              <c:strCache>
                <c:ptCount val="12"/>
                <c:pt idx="0" c:formatCode="#,##0_ ">
                  <c:v>1月</c:v>
                </c:pt>
                <c:pt idx="1" c:formatCode="#,##0_ ">
                  <c:v>2月</c:v>
                </c:pt>
                <c:pt idx="2" c:formatCode="#,##0_ ">
                  <c:v>3月</c:v>
                </c:pt>
                <c:pt idx="3" c:formatCode="#,##0_ ">
                  <c:v>4月</c:v>
                </c:pt>
                <c:pt idx="4" c:formatCode="#,##0_ ">
                  <c:v>5月</c:v>
                </c:pt>
                <c:pt idx="5" c:formatCode="#,##0_ ">
                  <c:v>6月</c:v>
                </c:pt>
                <c:pt idx="6" c:formatCode="#,##0_ ">
                  <c:v>7月</c:v>
                </c:pt>
                <c:pt idx="7" c:formatCode="#,##0_ ">
                  <c:v>8月</c:v>
                </c:pt>
                <c:pt idx="8" c:formatCode="#,##0_ ">
                  <c:v>9月</c:v>
                </c:pt>
                <c:pt idx="9" c:formatCode="#,##0_ ">
                  <c:v>10月</c:v>
                </c:pt>
                <c:pt idx="10" c:formatCode="#,##0_ ">
                  <c:v>11月</c:v>
                </c:pt>
                <c:pt idx="11" c:formatCode="#,##0_ ">
                  <c:v>12月</c:v>
                </c:pt>
              </c:strCache>
            </c:strRef>
          </c:cat>
          <c:val>
            <c:numRef>
              <c:f>数量汇总!$AG$34:$AR$34</c:f>
              <c:numCache>
                <c:formatCode>#,##0_);[Red]\(#,##0\)</c:formatCode>
                <c:ptCount val="12"/>
                <c:pt idx="0">
                  <c:v>0</c:v>
                </c:pt>
                <c:pt idx="1">
                  <c:v>5000</c:v>
                </c:pt>
                <c:pt idx="2">
                  <c:v>5000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数量汇总!$AF$36</c:f>
              <c:strCache>
                <c:ptCount val="1"/>
                <c:pt idx="0">
                  <c:v>CBU/SP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数量汇总!$AG$33:$AR$33</c:f>
              <c:strCache>
                <c:ptCount val="12"/>
                <c:pt idx="0" c:formatCode="#,##0_ ">
                  <c:v>1月</c:v>
                </c:pt>
                <c:pt idx="1" c:formatCode="#,##0_ ">
                  <c:v>2月</c:v>
                </c:pt>
                <c:pt idx="2" c:formatCode="#,##0_ ">
                  <c:v>3月</c:v>
                </c:pt>
                <c:pt idx="3" c:formatCode="#,##0_ ">
                  <c:v>4月</c:v>
                </c:pt>
                <c:pt idx="4" c:formatCode="#,##0_ ">
                  <c:v>5月</c:v>
                </c:pt>
                <c:pt idx="5" c:formatCode="#,##0_ ">
                  <c:v>6月</c:v>
                </c:pt>
                <c:pt idx="6" c:formatCode="#,##0_ ">
                  <c:v>7月</c:v>
                </c:pt>
                <c:pt idx="7" c:formatCode="#,##0_ ">
                  <c:v>8月</c:v>
                </c:pt>
                <c:pt idx="8" c:formatCode="#,##0_ ">
                  <c:v>9月</c:v>
                </c:pt>
                <c:pt idx="9" c:formatCode="#,##0_ ">
                  <c:v>10月</c:v>
                </c:pt>
                <c:pt idx="10" c:formatCode="#,##0_ ">
                  <c:v>11月</c:v>
                </c:pt>
                <c:pt idx="11" c:formatCode="#,##0_ ">
                  <c:v>12月</c:v>
                </c:pt>
              </c:strCache>
            </c:strRef>
          </c:cat>
          <c:val>
            <c:numRef>
              <c:f>数量汇总!$AG$36:$AR$36</c:f>
              <c:numCache>
                <c:formatCode>#,##0_);[Red]\(#,##0\)</c:formatCode>
                <c:ptCount val="12"/>
                <c:pt idx="0">
                  <c:v>447243</c:v>
                </c:pt>
                <c:pt idx="1">
                  <c:v>265544</c:v>
                </c:pt>
                <c:pt idx="2">
                  <c:v>442713</c:v>
                </c:pt>
                <c:pt idx="3">
                  <c:v>263258</c:v>
                </c:pt>
                <c:pt idx="4">
                  <c:v>795000</c:v>
                </c:pt>
                <c:pt idx="5">
                  <c:v>700000</c:v>
                </c:pt>
                <c:pt idx="6">
                  <c:v>905000</c:v>
                </c:pt>
                <c:pt idx="7">
                  <c:v>1125000</c:v>
                </c:pt>
                <c:pt idx="8">
                  <c:v>1027422</c:v>
                </c:pt>
                <c:pt idx="9">
                  <c:v>1005000</c:v>
                </c:pt>
                <c:pt idx="10">
                  <c:v>845000</c:v>
                </c:pt>
                <c:pt idx="11">
                  <c:v>897750</c:v>
                </c:pt>
              </c:numCache>
            </c:numRef>
          </c:val>
        </c:ser>
        <c:ser>
          <c:idx val="2"/>
          <c:order val="2"/>
          <c:tx>
            <c:strRef>
              <c:f>数量汇总!$AF$37</c:f>
              <c:strCache>
                <c:ptCount val="1"/>
                <c:pt idx="0">
                  <c:v>SKD/FP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数量汇总!$AG$33:$AR$33</c:f>
              <c:strCache>
                <c:ptCount val="12"/>
                <c:pt idx="0" c:formatCode="#,##0_ ">
                  <c:v>1月</c:v>
                </c:pt>
                <c:pt idx="1" c:formatCode="#,##0_ ">
                  <c:v>2月</c:v>
                </c:pt>
                <c:pt idx="2" c:formatCode="#,##0_ ">
                  <c:v>3月</c:v>
                </c:pt>
                <c:pt idx="3" c:formatCode="#,##0_ ">
                  <c:v>4月</c:v>
                </c:pt>
                <c:pt idx="4" c:formatCode="#,##0_ ">
                  <c:v>5月</c:v>
                </c:pt>
                <c:pt idx="5" c:formatCode="#,##0_ ">
                  <c:v>6月</c:v>
                </c:pt>
                <c:pt idx="6" c:formatCode="#,##0_ ">
                  <c:v>7月</c:v>
                </c:pt>
                <c:pt idx="7" c:formatCode="#,##0_ ">
                  <c:v>8月</c:v>
                </c:pt>
                <c:pt idx="8" c:formatCode="#,##0_ ">
                  <c:v>9月</c:v>
                </c:pt>
                <c:pt idx="9" c:formatCode="#,##0_ ">
                  <c:v>10月</c:v>
                </c:pt>
                <c:pt idx="10" c:formatCode="#,##0_ ">
                  <c:v>11月</c:v>
                </c:pt>
                <c:pt idx="11" c:formatCode="#,##0_ ">
                  <c:v>12月</c:v>
                </c:pt>
              </c:strCache>
            </c:strRef>
          </c:cat>
          <c:val>
            <c:numRef>
              <c:f>数量汇总!$AG$37:$AR$37</c:f>
              <c:numCache>
                <c:formatCode>#,##0_);[Red]\(#,##0\)</c:formatCode>
                <c:ptCount val="12"/>
                <c:pt idx="0">
                  <c:v>0</c:v>
                </c:pt>
                <c:pt idx="1">
                  <c:v>100000</c:v>
                </c:pt>
                <c:pt idx="2">
                  <c:v>100000</c:v>
                </c:pt>
                <c:pt idx="3">
                  <c:v>150000</c:v>
                </c:pt>
                <c:pt idx="4">
                  <c:v>50000</c:v>
                </c:pt>
                <c:pt idx="5">
                  <c:v>100000</c:v>
                </c:pt>
                <c:pt idx="6">
                  <c:v>150000</c:v>
                </c:pt>
                <c:pt idx="7">
                  <c:v>50000</c:v>
                </c:pt>
                <c:pt idx="8">
                  <c:v>100000</c:v>
                </c:pt>
                <c:pt idx="9">
                  <c:v>0</c:v>
                </c:pt>
                <c:pt idx="10">
                  <c:v>36000</c:v>
                </c:pt>
                <c:pt idx="11">
                  <c:v>0</c:v>
                </c:pt>
              </c:numCache>
            </c:numRef>
          </c:val>
        </c:ser>
        <c:ser>
          <c:idx val="3"/>
          <c:order val="3"/>
          <c:tx>
            <c:strRef>
              <c:f>数量汇总!$AF$38</c:f>
              <c:strCache>
                <c:ptCount val="1"/>
                <c:pt idx="0">
                  <c:v>SKD/SP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数量汇总!$AG$33:$AR$33</c:f>
              <c:strCache>
                <c:ptCount val="12"/>
                <c:pt idx="0" c:formatCode="#,##0_ ">
                  <c:v>1月</c:v>
                </c:pt>
                <c:pt idx="1" c:formatCode="#,##0_ ">
                  <c:v>2月</c:v>
                </c:pt>
                <c:pt idx="2" c:formatCode="#,##0_ ">
                  <c:v>3月</c:v>
                </c:pt>
                <c:pt idx="3" c:formatCode="#,##0_ ">
                  <c:v>4月</c:v>
                </c:pt>
                <c:pt idx="4" c:formatCode="#,##0_ ">
                  <c:v>5月</c:v>
                </c:pt>
                <c:pt idx="5" c:formatCode="#,##0_ ">
                  <c:v>6月</c:v>
                </c:pt>
                <c:pt idx="6" c:formatCode="#,##0_ ">
                  <c:v>7月</c:v>
                </c:pt>
                <c:pt idx="7" c:formatCode="#,##0_ ">
                  <c:v>8月</c:v>
                </c:pt>
                <c:pt idx="8" c:formatCode="#,##0_ ">
                  <c:v>9月</c:v>
                </c:pt>
                <c:pt idx="9" c:formatCode="#,##0_ ">
                  <c:v>10月</c:v>
                </c:pt>
                <c:pt idx="10" c:formatCode="#,##0_ ">
                  <c:v>11月</c:v>
                </c:pt>
                <c:pt idx="11" c:formatCode="#,##0_ ">
                  <c:v>12月</c:v>
                </c:pt>
              </c:strCache>
            </c:strRef>
          </c:cat>
          <c:val>
            <c:numRef>
              <c:f>数量汇总!$AG$38:$AR$38</c:f>
              <c:numCache>
                <c:formatCode>#,##0_);[Red]\(#,##0\)</c:formatCode>
                <c:ptCount val="12"/>
                <c:pt idx="0">
                  <c:v>44140</c:v>
                </c:pt>
                <c:pt idx="1">
                  <c:v>0</c:v>
                </c:pt>
                <c:pt idx="2">
                  <c:v>82500</c:v>
                </c:pt>
                <c:pt idx="3">
                  <c:v>10000</c:v>
                </c:pt>
                <c:pt idx="4">
                  <c:v>60000</c:v>
                </c:pt>
                <c:pt idx="5">
                  <c:v>70000</c:v>
                </c:pt>
                <c:pt idx="6">
                  <c:v>120000</c:v>
                </c:pt>
                <c:pt idx="7">
                  <c:v>80000</c:v>
                </c:pt>
                <c:pt idx="8">
                  <c:v>70000</c:v>
                </c:pt>
                <c:pt idx="9">
                  <c:v>70000</c:v>
                </c:pt>
                <c:pt idx="10">
                  <c:v>40000</c:v>
                </c:pt>
                <c:pt idx="11">
                  <c:v>60000</c:v>
                </c:pt>
              </c:numCache>
            </c:numRef>
          </c:val>
        </c:ser>
        <c:ser>
          <c:idx val="4"/>
          <c:order val="4"/>
          <c:tx>
            <c:strRef>
              <c:f>数量汇总!$AF$39</c:f>
              <c:strCache>
                <c:ptCount val="1"/>
                <c:pt idx="0">
                  <c:v>CKD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数量汇总!$AG$33:$AR$33</c:f>
              <c:strCache>
                <c:ptCount val="12"/>
                <c:pt idx="0" c:formatCode="#,##0_ ">
                  <c:v>1月</c:v>
                </c:pt>
                <c:pt idx="1" c:formatCode="#,##0_ ">
                  <c:v>2月</c:v>
                </c:pt>
                <c:pt idx="2" c:formatCode="#,##0_ ">
                  <c:v>3月</c:v>
                </c:pt>
                <c:pt idx="3" c:formatCode="#,##0_ ">
                  <c:v>4月</c:v>
                </c:pt>
                <c:pt idx="4" c:formatCode="#,##0_ ">
                  <c:v>5月</c:v>
                </c:pt>
                <c:pt idx="5" c:formatCode="#,##0_ ">
                  <c:v>6月</c:v>
                </c:pt>
                <c:pt idx="6" c:formatCode="#,##0_ ">
                  <c:v>7月</c:v>
                </c:pt>
                <c:pt idx="7" c:formatCode="#,##0_ ">
                  <c:v>8月</c:v>
                </c:pt>
                <c:pt idx="8" c:formatCode="#,##0_ ">
                  <c:v>9月</c:v>
                </c:pt>
                <c:pt idx="9" c:formatCode="#,##0_ ">
                  <c:v>10月</c:v>
                </c:pt>
                <c:pt idx="10" c:formatCode="#,##0_ ">
                  <c:v>11月</c:v>
                </c:pt>
                <c:pt idx="11" c:formatCode="#,##0_ ">
                  <c:v>12月</c:v>
                </c:pt>
              </c:strCache>
            </c:strRef>
          </c:cat>
          <c:val>
            <c:numRef>
              <c:f>数量汇总!$AG$39:$AR$39</c:f>
              <c:numCache>
                <c:formatCode>#,##0_);[Red]\(#,##0\)</c:formatCode>
                <c:ptCount val="12"/>
                <c:pt idx="0">
                  <c:v>1520000</c:v>
                </c:pt>
                <c:pt idx="1">
                  <c:v>1300000</c:v>
                </c:pt>
                <c:pt idx="2">
                  <c:v>1210000</c:v>
                </c:pt>
                <c:pt idx="3">
                  <c:v>1160000</c:v>
                </c:pt>
                <c:pt idx="4">
                  <c:v>1320000</c:v>
                </c:pt>
                <c:pt idx="5">
                  <c:v>1310000</c:v>
                </c:pt>
                <c:pt idx="6">
                  <c:v>1590000</c:v>
                </c:pt>
                <c:pt idx="7">
                  <c:v>1550000</c:v>
                </c:pt>
                <c:pt idx="8">
                  <c:v>1740000</c:v>
                </c:pt>
                <c:pt idx="9">
                  <c:v>1760000</c:v>
                </c:pt>
                <c:pt idx="10">
                  <c:v>1160000</c:v>
                </c:pt>
                <c:pt idx="11">
                  <c:v>1083000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1239728"/>
        <c:axId val="1241235920"/>
      </c:barChart>
      <c:catAx>
        <c:axId val="1241239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41235920"/>
        <c:crosses val="autoZero"/>
        <c:auto val="1"/>
        <c:lblAlgn val="ctr"/>
        <c:lblOffset val="100"/>
        <c:noMultiLvlLbl val="1"/>
      </c:catAx>
      <c:valAx>
        <c:axId val="124123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41239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477cad1-7f46-4815-82e9-0209f14ea73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2540</xdr:colOff>
      <xdr:row>38</xdr:row>
      <xdr:rowOff>7620</xdr:rowOff>
    </xdr:from>
    <xdr:to>
      <xdr:col>16</xdr:col>
      <xdr:colOff>82550</xdr:colOff>
      <xdr:row>52</xdr:row>
      <xdr:rowOff>88900</xdr:rowOff>
    </xdr:to>
    <xdr:graphicFrame>
      <xdr:nvGraphicFramePr>
        <xdr:cNvPr id="4" name="图表 3"/>
        <xdr:cNvGraphicFramePr/>
      </xdr:nvGraphicFramePr>
      <xdr:xfrm>
        <a:off x="165100" y="6899910"/>
        <a:ext cx="11516360" cy="29051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4445</xdr:colOff>
      <xdr:row>40</xdr:row>
      <xdr:rowOff>57150</xdr:rowOff>
    </xdr:from>
    <xdr:to>
      <xdr:col>41</xdr:col>
      <xdr:colOff>146050</xdr:colOff>
      <xdr:row>65</xdr:row>
      <xdr:rowOff>44450</xdr:rowOff>
    </xdr:to>
    <xdr:graphicFrame>
      <xdr:nvGraphicFramePr>
        <xdr:cNvPr id="5" name="图表 4"/>
        <xdr:cNvGraphicFramePr/>
      </xdr:nvGraphicFramePr>
      <xdr:xfrm>
        <a:off x="22774275" y="7301865"/>
        <a:ext cx="7320280" cy="4705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Z112"/>
  <sheetViews>
    <sheetView showGridLines="0" tabSelected="1" zoomScale="70" zoomScaleNormal="70" workbookViewId="0">
      <pane xSplit="6" ySplit="4" topLeftCell="G5" activePane="bottomRight" state="frozen"/>
      <selection/>
      <selection pane="topRight"/>
      <selection pane="bottomLeft"/>
      <selection pane="bottomRight" activeCell="AH1" sqref="AH$1:AJ$1048576"/>
    </sheetView>
  </sheetViews>
  <sheetFormatPr defaultColWidth="9" defaultRowHeight="15"/>
  <cols>
    <col min="1" max="1" width="7.72566371681416" style="124" customWidth="1"/>
    <col min="2" max="2" width="16.8141592920354" style="124" customWidth="1"/>
    <col min="3" max="3" width="10.3628318584071" style="124" customWidth="1" outlineLevel="1"/>
    <col min="4" max="4" width="5.45132743362832" style="124" customWidth="1" outlineLevel="1"/>
    <col min="5" max="5" width="3.63716814159292" style="124" customWidth="1" outlineLevel="1"/>
    <col min="6" max="6" width="8.8141592920354" style="124" hidden="1" customWidth="1"/>
    <col min="7" max="8" width="14.8141592920354" style="125" customWidth="1"/>
    <col min="9" max="10" width="11.2654867256637" style="125" customWidth="1"/>
    <col min="11" max="12" width="14.5398230088496" style="125" customWidth="1"/>
    <col min="13" max="17" width="12.4513274336283" style="125" customWidth="1"/>
    <col min="18" max="18" width="10.9026548672566" style="125" customWidth="1"/>
    <col min="19" max="19" width="12.4513274336283" style="125" customWidth="1"/>
    <col min="20" max="20" width="12.6371681415929" style="125" customWidth="1"/>
    <col min="21" max="21" width="12.4513274336283" style="125" customWidth="1"/>
    <col min="22" max="22" width="10.3628318584071" style="125" customWidth="1"/>
    <col min="23" max="23" width="13.5398230088496" style="125" customWidth="1"/>
    <col min="24" max="24" width="12.0884955752212" style="125" customWidth="1"/>
    <col min="25" max="25" width="12.4513274336283" style="125" customWidth="1"/>
    <col min="26" max="26" width="11.3628318584071" style="125" customWidth="1"/>
    <col min="27" max="27" width="12.4513274336283" style="125" customWidth="1"/>
    <col min="28" max="28" width="11.7256637168142" style="125" customWidth="1"/>
    <col min="29" max="29" width="12.4513274336283" style="125" customWidth="1"/>
    <col min="30" max="30" width="10.8141592920354" style="125" customWidth="1"/>
    <col min="31" max="32" width="12.4513274336283" style="125" customWidth="1"/>
    <col min="33" max="50" width="9" style="124"/>
    <col min="51" max="51" width="10.2654867256637" style="124" customWidth="1"/>
    <col min="52" max="16384" width="9" style="124"/>
  </cols>
  <sheetData>
    <row r="1" ht="14.25" customHeight="1" spans="1:32">
      <c r="A1" s="126" t="s">
        <v>0</v>
      </c>
      <c r="B1" s="126" t="s">
        <v>1</v>
      </c>
      <c r="C1" s="126" t="s">
        <v>2</v>
      </c>
      <c r="D1" s="127" t="s">
        <v>3</v>
      </c>
      <c r="E1" s="126" t="s">
        <v>4</v>
      </c>
      <c r="F1" s="128" t="s">
        <v>5</v>
      </c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30"/>
      <c r="AE1" s="130"/>
      <c r="AF1" s="130"/>
    </row>
    <row r="2" ht="14.25" customHeight="1" spans="1:32">
      <c r="A2" s="131"/>
      <c r="B2" s="131"/>
      <c r="C2" s="131"/>
      <c r="D2" s="132"/>
      <c r="E2" s="131"/>
      <c r="F2" s="133"/>
      <c r="G2" s="134" t="s">
        <v>6</v>
      </c>
      <c r="H2" s="134" t="s">
        <v>7</v>
      </c>
      <c r="I2" s="135" t="s">
        <v>8</v>
      </c>
      <c r="J2" s="135" t="s">
        <v>9</v>
      </c>
      <c r="K2" s="136" t="s">
        <v>10</v>
      </c>
      <c r="L2" s="136" t="s">
        <v>11</v>
      </c>
      <c r="M2" s="137" t="s">
        <v>12</v>
      </c>
      <c r="N2" s="137" t="s">
        <v>13</v>
      </c>
      <c r="O2" s="138" t="s">
        <v>14</v>
      </c>
      <c r="P2" s="138" t="s">
        <v>15</v>
      </c>
      <c r="Q2" s="136" t="s">
        <v>16</v>
      </c>
      <c r="R2" s="139" t="s">
        <v>17</v>
      </c>
      <c r="S2" s="134" t="s">
        <v>18</v>
      </c>
      <c r="T2" s="134" t="s">
        <v>19</v>
      </c>
      <c r="U2" s="135" t="s">
        <v>20</v>
      </c>
      <c r="V2" s="135" t="s">
        <v>21</v>
      </c>
      <c r="W2" s="136" t="s">
        <v>22</v>
      </c>
      <c r="X2" s="136" t="s">
        <v>23</v>
      </c>
      <c r="Y2" s="137" t="s">
        <v>24</v>
      </c>
      <c r="Z2" s="137" t="s">
        <v>25</v>
      </c>
      <c r="AA2" s="138" t="s">
        <v>26</v>
      </c>
      <c r="AB2" s="138" t="s">
        <v>27</v>
      </c>
      <c r="AC2" s="136" t="s">
        <v>28</v>
      </c>
      <c r="AD2" s="136" t="s">
        <v>29</v>
      </c>
      <c r="AE2" s="140" t="s">
        <v>30</v>
      </c>
      <c r="AF2" s="141" t="s">
        <v>31</v>
      </c>
    </row>
    <row r="3" ht="14.15" customHeight="1" spans="1:32">
      <c r="A3" s="131"/>
      <c r="B3" s="131"/>
      <c r="C3" s="131"/>
      <c r="D3" s="132"/>
      <c r="E3" s="131"/>
      <c r="F3" s="133"/>
      <c r="G3" s="137" t="s">
        <v>32</v>
      </c>
      <c r="H3" s="137" t="s">
        <v>32</v>
      </c>
      <c r="I3" s="138" t="s">
        <v>32</v>
      </c>
      <c r="J3" s="138" t="s">
        <v>32</v>
      </c>
      <c r="K3" s="136" t="s">
        <v>32</v>
      </c>
      <c r="L3" s="136" t="s">
        <v>32</v>
      </c>
      <c r="M3" s="137" t="s">
        <v>32</v>
      </c>
      <c r="N3" s="137" t="s">
        <v>32</v>
      </c>
      <c r="O3" s="138" t="s">
        <v>32</v>
      </c>
      <c r="P3" s="138" t="s">
        <v>32</v>
      </c>
      <c r="Q3" s="136" t="s">
        <v>32</v>
      </c>
      <c r="R3" s="136" t="s">
        <v>32</v>
      </c>
      <c r="S3" s="137" t="s">
        <v>32</v>
      </c>
      <c r="T3" s="137" t="s">
        <v>32</v>
      </c>
      <c r="U3" s="138" t="s">
        <v>32</v>
      </c>
      <c r="V3" s="138" t="s">
        <v>32</v>
      </c>
      <c r="W3" s="136" t="s">
        <v>32</v>
      </c>
      <c r="X3" s="136" t="s">
        <v>32</v>
      </c>
      <c r="Y3" s="137" t="s">
        <v>32</v>
      </c>
      <c r="Z3" s="137" t="s">
        <v>32</v>
      </c>
      <c r="AA3" s="138" t="s">
        <v>32</v>
      </c>
      <c r="AB3" s="138" t="s">
        <v>32</v>
      </c>
      <c r="AC3" s="136" t="s">
        <v>32</v>
      </c>
      <c r="AD3" s="136" t="s">
        <v>32</v>
      </c>
      <c r="AE3" s="140" t="s">
        <v>33</v>
      </c>
      <c r="AF3" s="141" t="s">
        <v>33</v>
      </c>
    </row>
    <row r="4" ht="14.15" customHeight="1" spans="1:32">
      <c r="A4" s="142"/>
      <c r="B4" s="142"/>
      <c r="C4" s="142"/>
      <c r="D4" s="143"/>
      <c r="E4" s="142"/>
      <c r="F4" s="133"/>
      <c r="G4" s="137" t="s">
        <v>34</v>
      </c>
      <c r="H4" s="137" t="s">
        <v>34</v>
      </c>
      <c r="I4" s="138" t="s">
        <v>34</v>
      </c>
      <c r="J4" s="138" t="s">
        <v>34</v>
      </c>
      <c r="K4" s="136" t="s">
        <v>34</v>
      </c>
      <c r="L4" s="136" t="s">
        <v>34</v>
      </c>
      <c r="M4" s="137" t="s">
        <v>34</v>
      </c>
      <c r="N4" s="137" t="s">
        <v>34</v>
      </c>
      <c r="O4" s="138" t="s">
        <v>34</v>
      </c>
      <c r="P4" s="138" t="s">
        <v>34</v>
      </c>
      <c r="Q4" s="136" t="s">
        <v>34</v>
      </c>
      <c r="R4" s="136" t="s">
        <v>34</v>
      </c>
      <c r="S4" s="137" t="s">
        <v>34</v>
      </c>
      <c r="T4" s="137" t="s">
        <v>34</v>
      </c>
      <c r="U4" s="138" t="s">
        <v>34</v>
      </c>
      <c r="V4" s="138" t="s">
        <v>34</v>
      </c>
      <c r="W4" s="136" t="s">
        <v>34</v>
      </c>
      <c r="X4" s="136" t="s">
        <v>34</v>
      </c>
      <c r="Y4" s="137" t="s">
        <v>34</v>
      </c>
      <c r="Z4" s="137" t="s">
        <v>34</v>
      </c>
      <c r="AA4" s="138" t="s">
        <v>34</v>
      </c>
      <c r="AB4" s="138" t="s">
        <v>34</v>
      </c>
      <c r="AC4" s="136" t="s">
        <v>34</v>
      </c>
      <c r="AD4" s="136" t="s">
        <v>34</v>
      </c>
      <c r="AE4" s="140" t="s">
        <v>34</v>
      </c>
      <c r="AF4" s="141" t="s">
        <v>34</v>
      </c>
    </row>
    <row r="5" outlineLevel="1" spans="1:32">
      <c r="A5" s="144" t="s">
        <v>35</v>
      </c>
      <c r="B5" s="144" t="s">
        <v>36</v>
      </c>
      <c r="C5" s="144" t="s">
        <v>37</v>
      </c>
      <c r="D5" s="145" t="s">
        <v>38</v>
      </c>
      <c r="E5" s="146" t="s">
        <v>39</v>
      </c>
      <c r="F5" s="147" t="e">
        <f>#REF!+#REF!+#REF!+#REF!+#REF!</f>
        <v>#REF!</v>
      </c>
      <c r="G5" s="148"/>
      <c r="H5" s="148"/>
      <c r="I5" s="149">
        <v>10000</v>
      </c>
      <c r="J5" s="149">
        <v>10000</v>
      </c>
      <c r="K5" s="150">
        <v>10000</v>
      </c>
      <c r="L5" s="150">
        <v>10000</v>
      </c>
      <c r="M5" s="148"/>
      <c r="N5" s="148"/>
      <c r="O5" s="149"/>
      <c r="P5" s="149"/>
      <c r="Q5" s="150"/>
      <c r="R5" s="150"/>
      <c r="S5" s="148"/>
      <c r="T5" s="148"/>
      <c r="U5" s="149"/>
      <c r="V5" s="149"/>
      <c r="W5" s="150"/>
      <c r="X5" s="150"/>
      <c r="Y5" s="148"/>
      <c r="Z5" s="148"/>
      <c r="AA5" s="149"/>
      <c r="AB5" s="149"/>
      <c r="AC5" s="150"/>
      <c r="AD5" s="150"/>
      <c r="AE5" s="151">
        <f>G5+I5+K5+M5+O5+Q5+S5+U5+W5+Y5+AA5+AC5</f>
        <v>20000</v>
      </c>
      <c r="AF5" s="152">
        <f>H5+J5+L5+N5+P5+R5+T5+V5+X5+Z5+AB5+AD5</f>
        <v>20000</v>
      </c>
    </row>
    <row r="6" outlineLevel="1" spans="1:32">
      <c r="A6" s="144" t="s">
        <v>35</v>
      </c>
      <c r="B6" s="153" t="s">
        <v>40</v>
      </c>
      <c r="C6" s="144"/>
      <c r="D6" s="145" t="s">
        <v>38</v>
      </c>
      <c r="E6" s="146" t="s">
        <v>39</v>
      </c>
      <c r="F6" s="147"/>
      <c r="G6" s="148"/>
      <c r="H6" s="148"/>
      <c r="I6" s="149"/>
      <c r="J6" s="149"/>
      <c r="K6" s="150"/>
      <c r="L6" s="150"/>
      <c r="M6" s="148"/>
      <c r="N6" s="148"/>
      <c r="O6" s="149"/>
      <c r="P6" s="149"/>
      <c r="Q6" s="150"/>
      <c r="R6" s="150"/>
      <c r="S6" s="148"/>
      <c r="T6" s="148">
        <v>20000</v>
      </c>
      <c r="U6" s="149">
        <v>0</v>
      </c>
      <c r="V6" s="149">
        <v>500</v>
      </c>
      <c r="W6" s="150">
        <v>30000</v>
      </c>
      <c r="X6" s="150"/>
      <c r="Y6" s="148">
        <v>20000</v>
      </c>
      <c r="Z6" s="148"/>
      <c r="AA6" s="149"/>
      <c r="AB6" s="149">
        <v>10000</v>
      </c>
      <c r="AC6" s="150">
        <v>30000</v>
      </c>
      <c r="AD6" s="150">
        <v>5000</v>
      </c>
      <c r="AE6" s="151">
        <f>G6+I6+K6+M6+O6+Q6+S6+U6+W6+Y6+AA6+AC6</f>
        <v>80000</v>
      </c>
      <c r="AF6" s="152">
        <f>H6+J6+L6+N6+P6+R6+T6+V6+X6+Z6+AB6+AD6</f>
        <v>35500</v>
      </c>
    </row>
    <row r="7" outlineLevel="1" spans="1:32">
      <c r="A7" s="144" t="s">
        <v>35</v>
      </c>
      <c r="B7" s="144" t="s">
        <v>41</v>
      </c>
      <c r="C7" s="144" t="s">
        <v>42</v>
      </c>
      <c r="D7" s="145" t="s">
        <v>38</v>
      </c>
      <c r="E7" s="146" t="s">
        <v>39</v>
      </c>
      <c r="F7" s="147" t="e">
        <f>#REF!+#REF!+#REF!+#REF!+#REF!</f>
        <v>#REF!</v>
      </c>
      <c r="G7" s="148">
        <v>60000</v>
      </c>
      <c r="H7" s="148">
        <v>60000</v>
      </c>
      <c r="I7" s="149">
        <v>10000</v>
      </c>
      <c r="J7" s="149">
        <v>10000</v>
      </c>
      <c r="K7" s="150">
        <v>30000</v>
      </c>
      <c r="L7" s="150">
        <v>20000</v>
      </c>
      <c r="M7" s="148">
        <v>20000</v>
      </c>
      <c r="N7" s="148">
        <v>30000</v>
      </c>
      <c r="O7" s="149">
        <v>10000</v>
      </c>
      <c r="P7" s="149">
        <v>30000</v>
      </c>
      <c r="Q7" s="150">
        <v>10000</v>
      </c>
      <c r="R7" s="150">
        <v>20000</v>
      </c>
      <c r="S7" s="148">
        <v>0</v>
      </c>
      <c r="T7" s="148"/>
      <c r="U7" s="149"/>
      <c r="V7" s="149"/>
      <c r="W7" s="150"/>
      <c r="X7" s="150">
        <v>50000</v>
      </c>
      <c r="Y7" s="148"/>
      <c r="Z7" s="148"/>
      <c r="AA7" s="149"/>
      <c r="AB7" s="149"/>
      <c r="AC7" s="150"/>
      <c r="AD7" s="150"/>
      <c r="AE7" s="151">
        <f>G7+I7+K7+M7+O7+Q7+S7+U7+W7+Y7+AA7+AC7</f>
        <v>140000</v>
      </c>
      <c r="AF7" s="152">
        <f>H7+J7+L7+N7+P7+R7+T7+V7+X7+Z7+AB7+AD7</f>
        <v>220000</v>
      </c>
    </row>
    <row r="8" outlineLevel="1" spans="1:32">
      <c r="A8" s="144" t="s">
        <v>35</v>
      </c>
      <c r="B8" s="144" t="s">
        <v>43</v>
      </c>
      <c r="C8" s="144" t="s">
        <v>44</v>
      </c>
      <c r="D8" s="145" t="s">
        <v>38</v>
      </c>
      <c r="E8" s="146" t="s">
        <v>39</v>
      </c>
      <c r="F8" s="147" t="e">
        <f>#REF!+#REF!+#REF!+#REF!+#REF!</f>
        <v>#REF!</v>
      </c>
      <c r="G8" s="148"/>
      <c r="H8" s="148"/>
      <c r="I8" s="149"/>
      <c r="J8" s="149"/>
      <c r="K8" s="150"/>
      <c r="L8" s="150"/>
      <c r="M8" s="148"/>
      <c r="N8" s="148"/>
      <c r="O8" s="149"/>
      <c r="P8" s="149"/>
      <c r="Q8" s="150">
        <v>30000</v>
      </c>
      <c r="R8" s="150"/>
      <c r="S8" s="148">
        <v>70000</v>
      </c>
      <c r="T8" s="148"/>
      <c r="U8" s="149"/>
      <c r="V8" s="149">
        <v>80000</v>
      </c>
      <c r="W8" s="150">
        <v>30000</v>
      </c>
      <c r="X8" s="150">
        <v>40000</v>
      </c>
      <c r="Y8" s="148"/>
      <c r="Z8" s="148">
        <v>10000</v>
      </c>
      <c r="AA8" s="149">
        <v>30000</v>
      </c>
      <c r="AB8" s="149">
        <v>10000</v>
      </c>
      <c r="AC8" s="150"/>
      <c r="AD8" s="150">
        <v>10000</v>
      </c>
      <c r="AE8" s="151">
        <f>G8+I8+K8+M8+O8+Q8+S8+U8+W8+Y8+AA8+AC8</f>
        <v>160000</v>
      </c>
      <c r="AF8" s="152">
        <f>H8+J8+L8+N8+P8+R8+T8+V8+X8+Z8+AB8+AD8</f>
        <v>150000</v>
      </c>
    </row>
    <row r="9" outlineLevel="1" spans="1:32">
      <c r="A9" s="144" t="s">
        <v>35</v>
      </c>
      <c r="B9" s="144" t="s">
        <v>45</v>
      </c>
      <c r="C9" s="144" t="s">
        <v>46</v>
      </c>
      <c r="D9" s="145" t="s">
        <v>38</v>
      </c>
      <c r="E9" s="146" t="s">
        <v>39</v>
      </c>
      <c r="F9" s="147" t="e">
        <f>#REF!+#REF!+#REF!+#REF!+#REF!</f>
        <v>#REF!</v>
      </c>
      <c r="G9" s="148"/>
      <c r="H9" s="148"/>
      <c r="I9" s="149">
        <v>30000</v>
      </c>
      <c r="J9" s="149">
        <v>30000</v>
      </c>
      <c r="K9" s="150">
        <v>20000</v>
      </c>
      <c r="L9" s="150">
        <v>20000</v>
      </c>
      <c r="M9" s="148">
        <v>30000</v>
      </c>
      <c r="N9" s="148">
        <v>40000</v>
      </c>
      <c r="O9" s="149"/>
      <c r="P9" s="149">
        <v>25000</v>
      </c>
      <c r="Q9" s="150">
        <v>20000</v>
      </c>
      <c r="R9" s="150">
        <v>20000</v>
      </c>
      <c r="S9" s="148">
        <v>0</v>
      </c>
      <c r="T9" s="148"/>
      <c r="U9" s="149">
        <v>20000</v>
      </c>
      <c r="V9" s="149"/>
      <c r="W9" s="150"/>
      <c r="X9" s="150">
        <v>20000</v>
      </c>
      <c r="Y9" s="148">
        <v>10000</v>
      </c>
      <c r="Z9" s="148"/>
      <c r="AA9" s="149"/>
      <c r="AB9" s="149"/>
      <c r="AC9" s="150"/>
      <c r="AD9" s="150"/>
      <c r="AE9" s="151">
        <f>G9+I9+K9+M9+O9+Q9+S9+U9+W9+Y9+AA9+AC9</f>
        <v>130000</v>
      </c>
      <c r="AF9" s="152">
        <f>H9+J9+L9+N9+P9+R9+T9+V9+X9+Z9+AB9+AD9</f>
        <v>155000</v>
      </c>
    </row>
    <row r="10" outlineLevel="1" spans="1:32">
      <c r="A10" s="144" t="s">
        <v>35</v>
      </c>
      <c r="B10" s="153" t="s">
        <v>47</v>
      </c>
      <c r="C10" s="144" t="s">
        <v>48</v>
      </c>
      <c r="D10" s="145" t="s">
        <v>38</v>
      </c>
      <c r="E10" s="145" t="s">
        <v>39</v>
      </c>
      <c r="F10" s="147" t="e">
        <f>#REF!+#REF!+#REF!+#REF!+#REF!</f>
        <v>#REF!</v>
      </c>
      <c r="G10" s="148"/>
      <c r="H10" s="148"/>
      <c r="I10" s="149"/>
      <c r="J10" s="149"/>
      <c r="K10" s="150"/>
      <c r="L10" s="150">
        <v>500</v>
      </c>
      <c r="M10" s="148">
        <v>10000</v>
      </c>
      <c r="N10" s="148">
        <v>19500</v>
      </c>
      <c r="O10" s="149">
        <v>40000</v>
      </c>
      <c r="P10" s="149">
        <v>40000</v>
      </c>
      <c r="Q10" s="150"/>
      <c r="R10" s="150">
        <v>30000</v>
      </c>
      <c r="S10" s="148">
        <v>30000</v>
      </c>
      <c r="T10" s="148">
        <v>40000</v>
      </c>
      <c r="U10" s="149"/>
      <c r="V10" s="149">
        <v>80000</v>
      </c>
      <c r="W10" s="150">
        <v>20000</v>
      </c>
      <c r="X10" s="150">
        <v>90000</v>
      </c>
      <c r="Y10" s="148"/>
      <c r="Z10" s="148">
        <v>20000</v>
      </c>
      <c r="AA10" s="149"/>
      <c r="AB10" s="149">
        <v>20000</v>
      </c>
      <c r="AC10" s="150"/>
      <c r="AD10" s="150">
        <v>10000</v>
      </c>
      <c r="AE10" s="151">
        <f>G10+I10+K10+M10+O10+Q10+S10+U10+W10+Y10+AA10+AC10</f>
        <v>100000</v>
      </c>
      <c r="AF10" s="152">
        <f>H10+J10+L10+N10+P10+R10+T10+V10+X10+Z10+AB10+AD10</f>
        <v>350000</v>
      </c>
    </row>
    <row r="11" outlineLevel="1" spans="1:32">
      <c r="A11" s="144" t="s">
        <v>35</v>
      </c>
      <c r="B11" s="144" t="s">
        <v>49</v>
      </c>
      <c r="C11" s="144"/>
      <c r="D11" s="145" t="s">
        <v>38</v>
      </c>
      <c r="E11" s="145" t="s">
        <v>39</v>
      </c>
      <c r="F11" s="147" t="e">
        <f>#REF!+#REF!+#REF!+#REF!+#REF!</f>
        <v>#REF!</v>
      </c>
      <c r="G11" s="148"/>
      <c r="H11" s="148"/>
      <c r="I11" s="149"/>
      <c r="J11" s="149"/>
      <c r="K11" s="150"/>
      <c r="L11" s="150"/>
      <c r="M11" s="148"/>
      <c r="N11" s="148"/>
      <c r="O11" s="149"/>
      <c r="P11" s="149"/>
      <c r="Q11" s="150"/>
      <c r="R11" s="150"/>
      <c r="S11" s="148"/>
      <c r="T11" s="148"/>
      <c r="U11" s="149">
        <v>0</v>
      </c>
      <c r="V11" s="149"/>
      <c r="W11" s="150">
        <v>0</v>
      </c>
      <c r="X11" s="150"/>
      <c r="Y11" s="148">
        <v>0</v>
      </c>
      <c r="Z11" s="148"/>
      <c r="AA11" s="149">
        <v>20000</v>
      </c>
      <c r="AB11" s="149"/>
      <c r="AC11" s="150">
        <v>30000</v>
      </c>
      <c r="AD11" s="150"/>
      <c r="AE11" s="151">
        <f>G11+I11+K11+M11+O11+Q11+S11+U11+W11+Y11+AA11+AC11</f>
        <v>50000</v>
      </c>
      <c r="AF11" s="152">
        <f>H11+J11+L11+N11+P11+R11+T11+V11+X11+Z11+AB11+AD11</f>
        <v>0</v>
      </c>
    </row>
    <row r="12" outlineLevel="1" spans="1:32">
      <c r="A12" s="144" t="s">
        <v>35</v>
      </c>
      <c r="B12" s="154" t="s">
        <v>50</v>
      </c>
      <c r="C12" s="144"/>
      <c r="D12" s="145" t="s">
        <v>38</v>
      </c>
      <c r="E12" s="145" t="s">
        <v>39</v>
      </c>
      <c r="F12" s="147" t="e">
        <f>#REF!+#REF!+#REF!+#REF!+#REF!</f>
        <v>#REF!</v>
      </c>
      <c r="G12" s="148"/>
      <c r="H12" s="148"/>
      <c r="I12" s="149"/>
      <c r="J12" s="149"/>
      <c r="K12" s="150"/>
      <c r="L12" s="150"/>
      <c r="M12" s="148"/>
      <c r="N12" s="148"/>
      <c r="O12" s="149"/>
      <c r="P12" s="149"/>
      <c r="Q12" s="150"/>
      <c r="R12" s="150"/>
      <c r="S12" s="148"/>
      <c r="T12" s="148"/>
      <c r="U12" s="149">
        <v>20000</v>
      </c>
      <c r="V12" s="149"/>
      <c r="W12" s="150">
        <v>100000</v>
      </c>
      <c r="X12" s="150"/>
      <c r="Y12" s="148">
        <v>170000</v>
      </c>
      <c r="Z12" s="148"/>
      <c r="AA12" s="149">
        <v>200000</v>
      </c>
      <c r="AB12" s="149"/>
      <c r="AC12" s="150">
        <v>120000</v>
      </c>
      <c r="AD12" s="150"/>
      <c r="AE12" s="151">
        <f>G12+I12+K12+M12+O12+Q12+S12+U12+W12+Y12+AA12+AC12</f>
        <v>610000</v>
      </c>
      <c r="AF12" s="152">
        <f>H12+J12+L12+N12+P12+R12+T12+V12+X12+Z12+AB12+AD12</f>
        <v>0</v>
      </c>
    </row>
    <row r="13" s="121" customFormat="1" ht="15.75" spans="1:32">
      <c r="A13" s="155" t="s">
        <v>51</v>
      </c>
      <c r="B13" s="155"/>
      <c r="C13" s="156"/>
      <c r="D13" s="157"/>
      <c r="E13" s="157"/>
      <c r="F13" s="158" t="e">
        <f t="shared" ref="F13:AD13" si="0">SUM(F5:F12)</f>
        <v>#REF!</v>
      </c>
      <c r="G13" s="159">
        <f t="shared" si="0"/>
        <v>60000</v>
      </c>
      <c r="H13" s="159">
        <f t="shared" si="0"/>
        <v>60000</v>
      </c>
      <c r="I13" s="160">
        <f t="shared" si="0"/>
        <v>50000</v>
      </c>
      <c r="J13" s="160">
        <f t="shared" si="0"/>
        <v>50000</v>
      </c>
      <c r="K13" s="159">
        <f t="shared" si="0"/>
        <v>60000</v>
      </c>
      <c r="L13" s="159">
        <f t="shared" si="0"/>
        <v>50500</v>
      </c>
      <c r="M13" s="159">
        <f t="shared" si="0"/>
        <v>60000</v>
      </c>
      <c r="N13" s="159">
        <f t="shared" si="0"/>
        <v>89500</v>
      </c>
      <c r="O13" s="160">
        <f t="shared" si="0"/>
        <v>50000</v>
      </c>
      <c r="P13" s="160">
        <f t="shared" si="0"/>
        <v>95000</v>
      </c>
      <c r="Q13" s="159">
        <f t="shared" si="0"/>
        <v>60000</v>
      </c>
      <c r="R13" s="159">
        <f t="shared" si="0"/>
        <v>70000</v>
      </c>
      <c r="S13" s="159">
        <f t="shared" si="0"/>
        <v>100000</v>
      </c>
      <c r="T13" s="159">
        <f t="shared" si="0"/>
        <v>60000</v>
      </c>
      <c r="U13" s="160">
        <f t="shared" si="0"/>
        <v>40000</v>
      </c>
      <c r="V13" s="160">
        <f t="shared" si="0"/>
        <v>160500</v>
      </c>
      <c r="W13" s="159">
        <f t="shared" si="0"/>
        <v>180000</v>
      </c>
      <c r="X13" s="159">
        <f t="shared" si="0"/>
        <v>200000</v>
      </c>
      <c r="Y13" s="159">
        <f t="shared" si="0"/>
        <v>200000</v>
      </c>
      <c r="Z13" s="159">
        <f t="shared" si="0"/>
        <v>30000</v>
      </c>
      <c r="AA13" s="159">
        <f t="shared" si="0"/>
        <v>250000</v>
      </c>
      <c r="AB13" s="159">
        <f t="shared" si="0"/>
        <v>40000</v>
      </c>
      <c r="AC13" s="159">
        <f t="shared" si="0"/>
        <v>180000</v>
      </c>
      <c r="AD13" s="159">
        <f t="shared" si="0"/>
        <v>25000</v>
      </c>
      <c r="AE13" s="159">
        <f>G13+I13+K13+M13+O13+Q13+S13+U13+W13+Y13+AA13+AC13</f>
        <v>1290000</v>
      </c>
      <c r="AF13" s="159">
        <f>H13+J13+L13+N13+P13+R13+T13+V13+X13+Z13+AB13+AD13</f>
        <v>930500</v>
      </c>
    </row>
    <row r="14" outlineLevel="1" spans="1:32">
      <c r="A14" s="161" t="s">
        <v>52</v>
      </c>
      <c r="B14" s="162" t="s">
        <v>53</v>
      </c>
      <c r="C14" s="163"/>
      <c r="D14" s="164" t="s">
        <v>54</v>
      </c>
      <c r="E14" s="164" t="s">
        <v>39</v>
      </c>
      <c r="F14" s="147" t="e">
        <f>#REF!+#REF!+#REF!+#REF!+#REF!</f>
        <v>#REF!</v>
      </c>
      <c r="G14" s="148"/>
      <c r="H14" s="148"/>
      <c r="I14" s="149"/>
      <c r="J14" s="149"/>
      <c r="K14" s="150">
        <v>30000</v>
      </c>
      <c r="L14" s="150">
        <v>20000</v>
      </c>
      <c r="M14" s="148">
        <v>10000</v>
      </c>
      <c r="N14" s="148">
        <v>10000</v>
      </c>
      <c r="O14" s="149"/>
      <c r="P14" s="149"/>
      <c r="Q14" s="150">
        <v>20000</v>
      </c>
      <c r="R14" s="150"/>
      <c r="S14" s="148"/>
      <c r="T14" s="148"/>
      <c r="U14" s="149"/>
      <c r="V14" s="149"/>
      <c r="W14" s="150"/>
      <c r="X14" s="150"/>
      <c r="Y14" s="148"/>
      <c r="Z14" s="148"/>
      <c r="AA14" s="149"/>
      <c r="AB14" s="149"/>
      <c r="AC14" s="150"/>
      <c r="AD14" s="150"/>
      <c r="AE14" s="151">
        <f>G14+I14+K14+M14+O14+Q14+S14+U14+W14+Y14+AA14+AC14</f>
        <v>60000</v>
      </c>
      <c r="AF14" s="152">
        <f>H14+J14+L14+N14+P14+R14+T14+V14+X14+Z14+AB14+AD14</f>
        <v>30000</v>
      </c>
    </row>
    <row r="15" outlineLevel="1" spans="1:32">
      <c r="A15" s="161" t="s">
        <v>52</v>
      </c>
      <c r="B15" s="162" t="s">
        <v>55</v>
      </c>
      <c r="C15" s="163"/>
      <c r="D15" s="164" t="s">
        <v>54</v>
      </c>
      <c r="E15" s="164" t="s">
        <v>39</v>
      </c>
      <c r="F15" s="147" t="e">
        <f>#REF!+#REF!+#REF!+#REF!+#REF!</f>
        <v>#REF!</v>
      </c>
      <c r="G15" s="148"/>
      <c r="H15" s="148"/>
      <c r="I15" s="149"/>
      <c r="J15" s="149"/>
      <c r="K15" s="150">
        <v>10000</v>
      </c>
      <c r="L15" s="150"/>
      <c r="M15" s="148"/>
      <c r="N15" s="148"/>
      <c r="O15" s="149"/>
      <c r="P15" s="149"/>
      <c r="Q15" s="150"/>
      <c r="R15" s="150"/>
      <c r="S15" s="148">
        <v>10000</v>
      </c>
      <c r="T15" s="148"/>
      <c r="U15" s="149"/>
      <c r="V15" s="149"/>
      <c r="W15" s="150"/>
      <c r="X15" s="150"/>
      <c r="Y15" s="148"/>
      <c r="Z15" s="148"/>
      <c r="AA15" s="149"/>
      <c r="AB15" s="149"/>
      <c r="AC15" s="150"/>
      <c r="AD15" s="150"/>
      <c r="AE15" s="151">
        <f>G15+I15+K15+M15+O15+Q15+S15+U15+W15+Y15+AA15+AC15</f>
        <v>20000</v>
      </c>
      <c r="AF15" s="152">
        <f>H15+J15+L15+N15+P15+R15+T15+V15+X15+Z15+AB15+AD15</f>
        <v>0</v>
      </c>
    </row>
    <row r="16" outlineLevel="1" spans="1:32">
      <c r="A16" s="161" t="s">
        <v>52</v>
      </c>
      <c r="B16" s="162" t="s">
        <v>56</v>
      </c>
      <c r="C16" s="163"/>
      <c r="D16" s="164" t="s">
        <v>54</v>
      </c>
      <c r="E16" s="164" t="s">
        <v>39</v>
      </c>
      <c r="F16" s="147" t="e">
        <f>#REF!+#REF!+#REF!+#REF!+#REF!</f>
        <v>#REF!</v>
      </c>
      <c r="G16" s="148"/>
      <c r="H16" s="148"/>
      <c r="I16" s="149"/>
      <c r="J16" s="149"/>
      <c r="K16" s="150"/>
      <c r="L16" s="150"/>
      <c r="M16" s="148"/>
      <c r="N16" s="148"/>
      <c r="O16" s="149"/>
      <c r="P16" s="149"/>
      <c r="Q16" s="150"/>
      <c r="R16" s="150"/>
      <c r="S16" s="148">
        <v>10000</v>
      </c>
      <c r="T16" s="148"/>
      <c r="U16" s="149">
        <v>30000</v>
      </c>
      <c r="V16" s="149"/>
      <c r="W16" s="150"/>
      <c r="X16" s="150"/>
      <c r="Y16" s="148">
        <v>20000</v>
      </c>
      <c r="Z16" s="148"/>
      <c r="AA16" s="149"/>
      <c r="AB16" s="149"/>
      <c r="AC16" s="150">
        <v>10000</v>
      </c>
      <c r="AD16" s="150"/>
      <c r="AE16" s="151">
        <f>G16+I16+K16+M16+O16+Q16+S16+U16+W16+Y16+AA16+AC16</f>
        <v>70000</v>
      </c>
      <c r="AF16" s="152">
        <f>H16+J16+L16+N16+P16+R16+T16+V16+X16+Z16+AB16+AD16</f>
        <v>0</v>
      </c>
    </row>
    <row r="17" s="121" customFormat="1" ht="15.75" spans="1:32 16357:16380">
      <c r="A17" s="155" t="s">
        <v>57</v>
      </c>
      <c r="B17" s="155"/>
      <c r="C17" s="156"/>
      <c r="D17" s="157"/>
      <c r="E17" s="157"/>
      <c r="F17" s="158" t="e">
        <f>SUM(F14:F16)</f>
        <v>#REF!</v>
      </c>
      <c r="G17" s="159">
        <f>SUM(G14:G16)</f>
        <v>0</v>
      </c>
      <c r="H17" s="159">
        <f>SUM(H14:H16)</f>
        <v>0</v>
      </c>
      <c r="I17" s="159">
        <f>SUM(I14:I16)</f>
        <v>0</v>
      </c>
      <c r="J17" s="159">
        <f>SUM(J14:J16)</f>
        <v>0</v>
      </c>
      <c r="K17" s="159">
        <f t="shared" ref="K17:AC17" si="1">SUM(K14:K16)</f>
        <v>40000</v>
      </c>
      <c r="L17" s="159">
        <f t="shared" si="1"/>
        <v>20000</v>
      </c>
      <c r="M17" s="159">
        <f t="shared" si="1"/>
        <v>10000</v>
      </c>
      <c r="N17" s="159">
        <f t="shared" si="1"/>
        <v>10000</v>
      </c>
      <c r="O17" s="159">
        <f t="shared" si="1"/>
        <v>0</v>
      </c>
      <c r="P17" s="159">
        <f t="shared" si="1"/>
        <v>0</v>
      </c>
      <c r="Q17" s="159">
        <f t="shared" si="1"/>
        <v>20000</v>
      </c>
      <c r="R17" s="159">
        <f t="shared" si="1"/>
        <v>0</v>
      </c>
      <c r="S17" s="159">
        <f t="shared" si="1"/>
        <v>20000</v>
      </c>
      <c r="T17" s="159">
        <f t="shared" si="1"/>
        <v>0</v>
      </c>
      <c r="U17" s="159">
        <f t="shared" si="1"/>
        <v>30000</v>
      </c>
      <c r="V17" s="159">
        <f t="shared" si="1"/>
        <v>0</v>
      </c>
      <c r="W17" s="159">
        <f t="shared" si="1"/>
        <v>0</v>
      </c>
      <c r="X17" s="159">
        <f t="shared" si="1"/>
        <v>0</v>
      </c>
      <c r="Y17" s="159">
        <f t="shared" si="1"/>
        <v>20000</v>
      </c>
      <c r="Z17" s="159">
        <f t="shared" si="1"/>
        <v>0</v>
      </c>
      <c r="AA17" s="159">
        <f t="shared" si="1"/>
        <v>0</v>
      </c>
      <c r="AB17" s="159"/>
      <c r="AC17" s="159">
        <f t="shared" si="1"/>
        <v>10000</v>
      </c>
      <c r="AD17" s="159"/>
      <c r="AE17" s="159">
        <f t="shared" ref="AE17:AE23" si="2">G17+I17+K17+M17+O17+Q17+S17+U17+W17+Y17+AA17+AC17</f>
        <v>150000</v>
      </c>
      <c r="AF17" s="159">
        <f t="shared" ref="AF17:AF23" si="3">H17+J17+L17+N17+P17+R17+T17+V17+X17+Z17+AB17+AD17</f>
        <v>30000</v>
      </c>
    </row>
    <row r="18" ht="12" customHeight="1" outlineLevel="1" spans="1:32 16357:16380">
      <c r="A18" s="165" t="s">
        <v>58</v>
      </c>
      <c r="B18" s="166" t="s">
        <v>59</v>
      </c>
      <c r="C18" s="167" t="s">
        <v>60</v>
      </c>
      <c r="D18" s="168" t="s">
        <v>38</v>
      </c>
      <c r="E18" s="169" t="s">
        <v>61</v>
      </c>
      <c r="F18" s="147" t="e">
        <f>#REF!+#REF!+#REF!+#REF!+#REF!</f>
        <v>#REF!</v>
      </c>
      <c r="G18" s="148">
        <v>650000</v>
      </c>
      <c r="H18" s="148">
        <v>866750</v>
      </c>
      <c r="I18" s="149">
        <v>600000</v>
      </c>
      <c r="J18" s="149">
        <v>340200</v>
      </c>
      <c r="K18" s="150">
        <v>500000</v>
      </c>
      <c r="L18" s="150">
        <v>239000</v>
      </c>
      <c r="M18" s="148">
        <v>430000</v>
      </c>
      <c r="N18" s="148">
        <v>145750</v>
      </c>
      <c r="O18" s="149">
        <v>430000</v>
      </c>
      <c r="P18" s="149">
        <v>548750</v>
      </c>
      <c r="Q18" s="150">
        <v>430000</v>
      </c>
      <c r="R18" s="150">
        <v>245250</v>
      </c>
      <c r="S18" s="148">
        <v>580000</v>
      </c>
      <c r="T18" s="148">
        <v>332000</v>
      </c>
      <c r="U18" s="149">
        <v>600000</v>
      </c>
      <c r="V18" s="149">
        <v>207750</v>
      </c>
      <c r="W18" s="150">
        <v>650000</v>
      </c>
      <c r="X18" s="150">
        <v>435250</v>
      </c>
      <c r="Y18" s="148">
        <v>650000</v>
      </c>
      <c r="Z18" s="148">
        <v>487000</v>
      </c>
      <c r="AA18" s="149">
        <v>350000</v>
      </c>
      <c r="AB18" s="149">
        <v>439500</v>
      </c>
      <c r="AC18" s="150">
        <v>350000</v>
      </c>
      <c r="AD18" s="150">
        <v>557375</v>
      </c>
      <c r="AE18" s="151">
        <f t="shared" si="2"/>
        <v>6220000</v>
      </c>
      <c r="AF18" s="152">
        <f t="shared" si="3"/>
        <v>4844575</v>
      </c>
    </row>
    <row r="19" ht="12" customHeight="1" outlineLevel="1" spans="1:32 16357:16380">
      <c r="A19" s="165" t="s">
        <v>58</v>
      </c>
      <c r="B19" s="166" t="s">
        <v>62</v>
      </c>
      <c r="C19" s="167" t="s">
        <v>63</v>
      </c>
      <c r="D19" s="168" t="s">
        <v>38</v>
      </c>
      <c r="E19" s="169" t="s">
        <v>61</v>
      </c>
      <c r="F19" s="147" t="e">
        <f>#REF!+#REF!+#REF!+#REF!+#REF!</f>
        <v>#REF!</v>
      </c>
      <c r="G19" s="148">
        <v>270000</v>
      </c>
      <c r="H19" s="148">
        <v>270000</v>
      </c>
      <c r="I19" s="149">
        <v>250000</v>
      </c>
      <c r="J19" s="149">
        <v>235500</v>
      </c>
      <c r="K19" s="150">
        <v>250000</v>
      </c>
      <c r="L19" s="150"/>
      <c r="M19" s="148">
        <v>250000</v>
      </c>
      <c r="N19" s="148">
        <v>122500</v>
      </c>
      <c r="O19" s="149">
        <v>250000</v>
      </c>
      <c r="P19" s="149">
        <v>265000</v>
      </c>
      <c r="Q19" s="150">
        <v>250000</v>
      </c>
      <c r="R19" s="150">
        <v>229000</v>
      </c>
      <c r="S19" s="148">
        <v>250000</v>
      </c>
      <c r="T19" s="148">
        <v>144000</v>
      </c>
      <c r="U19" s="149">
        <v>250000</v>
      </c>
      <c r="V19" s="149">
        <v>113000</v>
      </c>
      <c r="W19" s="150">
        <v>250000</v>
      </c>
      <c r="X19" s="150">
        <v>218000</v>
      </c>
      <c r="Y19" s="148">
        <v>250000</v>
      </c>
      <c r="Z19" s="148">
        <v>361000</v>
      </c>
      <c r="AA19" s="149">
        <v>200000</v>
      </c>
      <c r="AB19" s="149">
        <v>367000</v>
      </c>
      <c r="AC19" s="150">
        <v>200000</v>
      </c>
      <c r="AD19" s="150">
        <v>361000</v>
      </c>
      <c r="AE19" s="151">
        <f t="shared" si="2"/>
        <v>2920000</v>
      </c>
      <c r="AF19" s="152">
        <f t="shared" si="3"/>
        <v>2686000</v>
      </c>
    </row>
    <row r="20" ht="12" customHeight="1" outlineLevel="1" spans="1:32 16357:16380">
      <c r="A20" s="165" t="s">
        <v>58</v>
      </c>
      <c r="B20" s="166" t="s">
        <v>64</v>
      </c>
      <c r="C20" s="167" t="s">
        <v>65</v>
      </c>
      <c r="D20" s="168" t="s">
        <v>38</v>
      </c>
      <c r="E20" s="169" t="s">
        <v>61</v>
      </c>
      <c r="F20" s="147"/>
      <c r="G20" s="148">
        <v>480000</v>
      </c>
      <c r="H20" s="148">
        <v>411512</v>
      </c>
      <c r="I20" s="149">
        <v>300000</v>
      </c>
      <c r="J20" s="149">
        <v>226796</v>
      </c>
      <c r="K20" s="150">
        <v>300000</v>
      </c>
      <c r="L20" s="150">
        <v>428412</v>
      </c>
      <c r="M20" s="148">
        <v>280000</v>
      </c>
      <c r="N20" s="148">
        <v>407968</v>
      </c>
      <c r="O20" s="149">
        <v>450000</v>
      </c>
      <c r="P20" s="149">
        <v>173800</v>
      </c>
      <c r="Q20" s="150">
        <v>400000</v>
      </c>
      <c r="R20" s="150">
        <v>176032</v>
      </c>
      <c r="S20" s="148">
        <v>400000</v>
      </c>
      <c r="T20" s="148">
        <v>285912</v>
      </c>
      <c r="U20" s="149">
        <v>400000</v>
      </c>
      <c r="V20" s="149">
        <v>329784</v>
      </c>
      <c r="W20" s="150">
        <v>400000</v>
      </c>
      <c r="X20" s="150">
        <v>340896</v>
      </c>
      <c r="Y20" s="148">
        <v>400000</v>
      </c>
      <c r="Z20" s="148">
        <v>303476</v>
      </c>
      <c r="AA20" s="149">
        <v>140000</v>
      </c>
      <c r="AB20" s="149">
        <v>471976</v>
      </c>
      <c r="AC20" s="150">
        <v>140000</v>
      </c>
      <c r="AD20" s="150">
        <v>427128</v>
      </c>
      <c r="AE20" s="151">
        <f t="shared" si="2"/>
        <v>4090000</v>
      </c>
      <c r="AF20" s="152">
        <f t="shared" si="3"/>
        <v>3983692</v>
      </c>
    </row>
    <row r="21" ht="12" customHeight="1" outlineLevel="1" spans="1:32 16357:16380">
      <c r="A21" s="165" t="s">
        <v>58</v>
      </c>
      <c r="B21" s="166" t="s">
        <v>66</v>
      </c>
      <c r="C21" s="167" t="s">
        <v>67</v>
      </c>
      <c r="D21" s="168" t="s">
        <v>38</v>
      </c>
      <c r="E21" s="169" t="s">
        <v>61</v>
      </c>
      <c r="F21" s="147"/>
      <c r="G21" s="148">
        <v>60000</v>
      </c>
      <c r="H21" s="148">
        <v>60000</v>
      </c>
      <c r="I21" s="149">
        <v>100000</v>
      </c>
      <c r="J21" s="149">
        <v>92880</v>
      </c>
      <c r="K21" s="150">
        <v>100000</v>
      </c>
      <c r="L21" s="150">
        <v>206360</v>
      </c>
      <c r="M21" s="148">
        <v>140000</v>
      </c>
      <c r="N21" s="148">
        <v>145160</v>
      </c>
      <c r="O21" s="149">
        <v>140000</v>
      </c>
      <c r="P21" s="149">
        <v>72440</v>
      </c>
      <c r="Q21" s="150">
        <v>140000</v>
      </c>
      <c r="R21" s="150">
        <v>73280</v>
      </c>
      <c r="S21" s="148">
        <v>140000</v>
      </c>
      <c r="T21" s="148">
        <v>41520</v>
      </c>
      <c r="U21" s="149">
        <v>140000</v>
      </c>
      <c r="V21" s="149">
        <v>18400</v>
      </c>
      <c r="W21" s="150">
        <v>140000</v>
      </c>
      <c r="X21" s="150">
        <v>18000</v>
      </c>
      <c r="Y21" s="148">
        <v>140000</v>
      </c>
      <c r="Z21" s="148">
        <v>39540</v>
      </c>
      <c r="AA21" s="149">
        <v>100000</v>
      </c>
      <c r="AB21" s="149">
        <v>83720</v>
      </c>
      <c r="AC21" s="150">
        <v>100000</v>
      </c>
      <c r="AD21" s="150">
        <v>99120</v>
      </c>
      <c r="AE21" s="151">
        <f t="shared" si="2"/>
        <v>1440000</v>
      </c>
      <c r="AF21" s="152">
        <f t="shared" si="3"/>
        <v>950420</v>
      </c>
    </row>
    <row r="22" ht="12" customHeight="1" outlineLevel="1" spans="1:32 16357:16380">
      <c r="A22" s="165" t="s">
        <v>58</v>
      </c>
      <c r="B22" s="166" t="s">
        <v>68</v>
      </c>
      <c r="C22" s="167" t="s">
        <v>69</v>
      </c>
      <c r="D22" s="168" t="s">
        <v>38</v>
      </c>
      <c r="E22" s="169" t="s">
        <v>61</v>
      </c>
      <c r="F22" s="147"/>
      <c r="G22" s="148"/>
      <c r="H22" s="148"/>
      <c r="I22" s="149"/>
      <c r="J22" s="149"/>
      <c r="K22" s="150"/>
      <c r="L22" s="150"/>
      <c r="M22" s="148"/>
      <c r="N22" s="148"/>
      <c r="O22" s="149"/>
      <c r="P22" s="149">
        <v>11500</v>
      </c>
      <c r="Q22" s="150">
        <v>30000</v>
      </c>
      <c r="R22" s="150"/>
      <c r="S22" s="148">
        <v>120000</v>
      </c>
      <c r="T22" s="148">
        <v>48112</v>
      </c>
      <c r="U22" s="149">
        <v>120000</v>
      </c>
      <c r="V22" s="149">
        <v>15768</v>
      </c>
      <c r="W22" s="150">
        <v>120000</v>
      </c>
      <c r="X22" s="150">
        <v>40304</v>
      </c>
      <c r="Y22" s="148">
        <v>120000</v>
      </c>
      <c r="Z22" s="148">
        <v>28600</v>
      </c>
      <c r="AA22" s="149">
        <v>120000</v>
      </c>
      <c r="AB22" s="149">
        <v>63888</v>
      </c>
      <c r="AC22" s="150">
        <v>113000</v>
      </c>
      <c r="AD22" s="150">
        <v>53396</v>
      </c>
      <c r="AE22" s="151">
        <f t="shared" si="2"/>
        <v>743000</v>
      </c>
      <c r="AF22" s="152">
        <f t="shared" si="3"/>
        <v>261568</v>
      </c>
    </row>
    <row r="23" s="121" customFormat="1" ht="15.75" spans="1:32 16357:16380">
      <c r="A23" s="155" t="s">
        <v>70</v>
      </c>
      <c r="B23" s="155"/>
      <c r="C23" s="156"/>
      <c r="D23" s="157"/>
      <c r="E23" s="157"/>
      <c r="F23" s="170" t="e">
        <f>SUM(F18:F22)</f>
        <v>#REF!</v>
      </c>
      <c r="G23" s="170">
        <f>SUM(G18:G22)</f>
        <v>1460000</v>
      </c>
      <c r="H23" s="170">
        <f>SUM(H18:H22)</f>
        <v>1608262</v>
      </c>
      <c r="I23" s="170">
        <f t="shared" ref="I23:AD23" si="4">SUM(I18:I22)</f>
        <v>1250000</v>
      </c>
      <c r="J23" s="170">
        <f t="shared" si="4"/>
        <v>895376</v>
      </c>
      <c r="K23" s="170">
        <f t="shared" si="4"/>
        <v>1150000</v>
      </c>
      <c r="L23" s="170">
        <f t="shared" si="4"/>
        <v>873772</v>
      </c>
      <c r="M23" s="170">
        <f t="shared" si="4"/>
        <v>1100000</v>
      </c>
      <c r="N23" s="170">
        <f>SUM(N18:N22)</f>
        <v>821378</v>
      </c>
      <c r="O23" s="170">
        <f t="shared" si="4"/>
        <v>1270000</v>
      </c>
      <c r="P23" s="170">
        <f t="shared" si="4"/>
        <v>1071490</v>
      </c>
      <c r="Q23" s="170">
        <f t="shared" si="4"/>
        <v>1250000</v>
      </c>
      <c r="R23" s="170">
        <f t="shared" si="4"/>
        <v>723562</v>
      </c>
      <c r="S23" s="170">
        <f t="shared" si="4"/>
        <v>1490000</v>
      </c>
      <c r="T23" s="170">
        <f t="shared" si="4"/>
        <v>851544</v>
      </c>
      <c r="U23" s="170">
        <f t="shared" si="4"/>
        <v>1510000</v>
      </c>
      <c r="V23" s="170">
        <f t="shared" si="4"/>
        <v>684702</v>
      </c>
      <c r="W23" s="170">
        <f t="shared" si="4"/>
        <v>1560000</v>
      </c>
      <c r="X23" s="170">
        <f t="shared" si="4"/>
        <v>1052450</v>
      </c>
      <c r="Y23" s="170">
        <f t="shared" si="4"/>
        <v>1560000</v>
      </c>
      <c r="Z23" s="170">
        <f t="shared" si="4"/>
        <v>1219616</v>
      </c>
      <c r="AA23" s="170">
        <f t="shared" si="4"/>
        <v>910000</v>
      </c>
      <c r="AB23" s="170">
        <f t="shared" si="4"/>
        <v>1426084</v>
      </c>
      <c r="AC23" s="170">
        <f t="shared" si="4"/>
        <v>903000</v>
      </c>
      <c r="AD23" s="170">
        <f t="shared" si="4"/>
        <v>1498019</v>
      </c>
      <c r="AE23" s="159">
        <f>G23+I23+K23+M23+O23+Q23+S23+U23+W23+Y23+AA23+AC23</f>
        <v>15413000</v>
      </c>
      <c r="AF23" s="159">
        <f>H23+J23+L23+N23+P23+R23+T23+V23+X23+Z23+AB23+AD23</f>
        <v>12726255</v>
      </c>
    </row>
    <row r="24" ht="12" customHeight="1" outlineLevel="1" spans="1:32 16357:16380">
      <c r="A24" s="144" t="s">
        <v>71</v>
      </c>
      <c r="B24" s="171" t="s">
        <v>72</v>
      </c>
      <c r="C24" s="172" t="s">
        <v>73</v>
      </c>
      <c r="D24" s="146" t="s">
        <v>74</v>
      </c>
      <c r="E24" s="146" t="s">
        <v>39</v>
      </c>
      <c r="F24" s="147"/>
      <c r="G24" s="148"/>
      <c r="H24" s="148"/>
      <c r="I24" s="149"/>
      <c r="J24" s="149"/>
      <c r="K24" s="150"/>
      <c r="L24" s="150">
        <v>0</v>
      </c>
      <c r="M24" s="148">
        <v>0</v>
      </c>
      <c r="N24" s="148">
        <v>0</v>
      </c>
      <c r="O24" s="149"/>
      <c r="P24" s="149">
        <v>41000</v>
      </c>
      <c r="Q24" s="150"/>
      <c r="R24" s="150">
        <v>30000</v>
      </c>
      <c r="S24" s="148"/>
      <c r="T24" s="148">
        <v>70000</v>
      </c>
      <c r="U24" s="149"/>
      <c r="V24" s="149">
        <v>20000</v>
      </c>
      <c r="W24" s="150"/>
      <c r="X24" s="150">
        <v>10000</v>
      </c>
      <c r="Y24" s="148"/>
      <c r="Z24" s="148">
        <v>50000</v>
      </c>
      <c r="AA24" s="149"/>
      <c r="AB24" s="149">
        <v>45000</v>
      </c>
      <c r="AC24" s="150"/>
      <c r="AD24" s="150">
        <v>30000</v>
      </c>
      <c r="AE24" s="151">
        <f>G24+I24+K24+M24+O24+Q24+S24+U24+W24+Y24+AA24+AC24</f>
        <v>0</v>
      </c>
      <c r="AF24" s="152">
        <f>H24+J24+L24+N24+P24+R24+T24+V24+X24+Z24+AB24+AD24</f>
        <v>296000</v>
      </c>
    </row>
    <row r="25" ht="12" customHeight="1" outlineLevel="1" spans="1:32 16357:16380">
      <c r="A25" s="144" t="s">
        <v>71</v>
      </c>
      <c r="B25" s="171" t="s">
        <v>75</v>
      </c>
      <c r="C25" s="172" t="s">
        <v>76</v>
      </c>
      <c r="D25" s="146" t="s">
        <v>74</v>
      </c>
      <c r="E25" s="146" t="s">
        <v>39</v>
      </c>
      <c r="F25" s="147"/>
      <c r="G25" s="148">
        <v>10000</v>
      </c>
      <c r="H25" s="148">
        <v>10000</v>
      </c>
      <c r="I25" s="149">
        <v>10000</v>
      </c>
      <c r="J25" s="149">
        <v>0</v>
      </c>
      <c r="K25" s="150"/>
      <c r="L25" s="150">
        <v>10000</v>
      </c>
      <c r="M25" s="148"/>
      <c r="N25" s="148"/>
      <c r="O25" s="149">
        <v>10000</v>
      </c>
      <c r="P25" s="149"/>
      <c r="Q25" s="150">
        <v>0</v>
      </c>
      <c r="R25" s="150"/>
      <c r="S25" s="148">
        <v>10000</v>
      </c>
      <c r="T25" s="148"/>
      <c r="U25" s="149">
        <v>0</v>
      </c>
      <c r="V25" s="149"/>
      <c r="W25" s="150">
        <v>10000</v>
      </c>
      <c r="X25" s="150"/>
      <c r="Y25" s="148"/>
      <c r="Z25" s="148"/>
      <c r="AA25" s="149"/>
      <c r="AB25" s="149"/>
      <c r="AC25" s="150"/>
      <c r="AD25" s="150"/>
      <c r="AE25" s="151">
        <f>G25+I25+K25+M25+O25+Q25+S25+U25+W25+Y25+AA25+AC25</f>
        <v>50000</v>
      </c>
      <c r="AF25" s="152">
        <f>H25+J25+L25+N25+P25+R25+T25+V25+X25+Z25+AB25+AD25</f>
        <v>20000</v>
      </c>
    </row>
    <row r="26" ht="12" customHeight="1" outlineLevel="1" spans="1:32 16357:16380">
      <c r="A26" s="144" t="s">
        <v>71</v>
      </c>
      <c r="B26" s="171" t="s">
        <v>77</v>
      </c>
      <c r="C26" s="172" t="s">
        <v>78</v>
      </c>
      <c r="D26" s="146" t="s">
        <v>74</v>
      </c>
      <c r="E26" s="146" t="s">
        <v>39</v>
      </c>
      <c r="F26" s="147"/>
      <c r="G26" s="148">
        <v>10000</v>
      </c>
      <c r="H26" s="148">
        <v>10000</v>
      </c>
      <c r="I26" s="149">
        <v>10000</v>
      </c>
      <c r="J26" s="149">
        <v>0</v>
      </c>
      <c r="K26" s="150"/>
      <c r="L26" s="150">
        <v>10000</v>
      </c>
      <c r="M26" s="148"/>
      <c r="N26" s="148"/>
      <c r="O26" s="149"/>
      <c r="P26" s="149"/>
      <c r="Q26" s="150">
        <v>10000</v>
      </c>
      <c r="R26" s="150"/>
      <c r="S26" s="148"/>
      <c r="T26" s="148"/>
      <c r="U26" s="149">
        <v>10000</v>
      </c>
      <c r="V26" s="149"/>
      <c r="W26" s="150"/>
      <c r="X26" s="150"/>
      <c r="Y26" s="148"/>
      <c r="Z26" s="148"/>
      <c r="AA26" s="149"/>
      <c r="AB26" s="149"/>
      <c r="AC26" s="150"/>
      <c r="AD26" s="150"/>
      <c r="AE26" s="151">
        <f t="shared" ref="AE26:AE45" si="5">G26+I26+K26+M26+O26+Q26+S26+U26+W26+Y26+AA26+AC26</f>
        <v>40000</v>
      </c>
      <c r="AF26" s="152">
        <f t="shared" ref="AF26:AF37" si="6">H26+J26+L26+N26+P26+R26+T26+V26+X26+Z26+AB26+AD26</f>
        <v>20000</v>
      </c>
    </row>
    <row r="27" ht="12" customHeight="1" outlineLevel="1" spans="1:32 16357:16380">
      <c r="A27" s="144" t="s">
        <v>71</v>
      </c>
      <c r="B27" s="173" t="s">
        <v>79</v>
      </c>
      <c r="C27" s="172" t="s">
        <v>80</v>
      </c>
      <c r="D27" s="146" t="s">
        <v>74</v>
      </c>
      <c r="E27" s="146" t="s">
        <v>39</v>
      </c>
      <c r="F27" s="147"/>
      <c r="G27" s="148">
        <v>6000</v>
      </c>
      <c r="H27" s="148">
        <v>5980</v>
      </c>
      <c r="I27" s="149">
        <v>4000</v>
      </c>
      <c r="J27" s="149"/>
      <c r="K27" s="150"/>
      <c r="L27" s="150">
        <v>4020</v>
      </c>
      <c r="M27" s="148"/>
      <c r="N27" s="148"/>
      <c r="O27" s="149"/>
      <c r="P27" s="149"/>
      <c r="Q27" s="150">
        <v>10000</v>
      </c>
      <c r="R27" s="150"/>
      <c r="S27" s="148"/>
      <c r="T27" s="148"/>
      <c r="U27" s="149"/>
      <c r="V27" s="149"/>
      <c r="W27" s="150"/>
      <c r="X27" s="150"/>
      <c r="Y27" s="148"/>
      <c r="Z27" s="148"/>
      <c r="AA27" s="149"/>
      <c r="AB27" s="149"/>
      <c r="AC27" s="150"/>
      <c r="AD27" s="150"/>
      <c r="AE27" s="151">
        <f>G27+I27+K27+M27+O27+Q27+S27+U27+W27+Y27+AA27+AC27</f>
        <v>20000</v>
      </c>
      <c r="AF27" s="152">
        <f>H27+J27+L27+N27+P27+R27+T27+V27+X27+Z27+AB27+AD27</f>
        <v>10000</v>
      </c>
    </row>
    <row r="28" ht="12" customHeight="1" outlineLevel="1" spans="1:32 16357:16380">
      <c r="A28" s="144" t="s">
        <v>71</v>
      </c>
      <c r="B28" s="173" t="s">
        <v>81</v>
      </c>
      <c r="C28" s="172"/>
      <c r="D28" s="146" t="s">
        <v>74</v>
      </c>
      <c r="E28" s="146" t="s">
        <v>39</v>
      </c>
      <c r="F28" s="147"/>
      <c r="G28" s="148"/>
      <c r="H28" s="148"/>
      <c r="I28" s="149"/>
      <c r="J28" s="149"/>
      <c r="K28" s="150"/>
      <c r="L28" s="150"/>
      <c r="M28" s="148"/>
      <c r="N28" s="148"/>
      <c r="O28" s="149">
        <v>10000</v>
      </c>
      <c r="P28" s="149"/>
      <c r="Q28" s="150"/>
      <c r="R28" s="150"/>
      <c r="S28" s="148"/>
      <c r="T28" s="148"/>
      <c r="U28" s="149">
        <v>10000</v>
      </c>
      <c r="V28" s="149"/>
      <c r="W28" s="150"/>
      <c r="X28" s="150"/>
      <c r="Y28" s="148">
        <v>10000</v>
      </c>
      <c r="Z28" s="148"/>
      <c r="AA28" s="149"/>
      <c r="AB28" s="149"/>
      <c r="AC28" s="150">
        <v>10000</v>
      </c>
      <c r="AD28" s="150"/>
      <c r="AE28" s="151">
        <f t="shared" si="5"/>
        <v>40000</v>
      </c>
      <c r="AF28" s="152">
        <f t="shared" si="6"/>
        <v>0</v>
      </c>
    </row>
    <row r="29" s="121" customFormat="1" ht="15.75" outlineLevel="1" spans="1:32 16357:16380">
      <c r="A29" s="155" t="s">
        <v>82</v>
      </c>
      <c r="B29" s="155"/>
      <c r="C29" s="156"/>
      <c r="D29" s="157"/>
      <c r="E29" s="157"/>
      <c r="F29" s="170">
        <f>SUM(F24:F24)</f>
        <v>0</v>
      </c>
      <c r="G29" s="170">
        <f>SUM(G24:G28)</f>
        <v>26000</v>
      </c>
      <c r="H29" s="170">
        <f>SUM(H24:H28)</f>
        <v>25980</v>
      </c>
      <c r="I29" s="170">
        <f t="shared" ref="I29:AD29" si="7">SUM(I24:I28)</f>
        <v>24000</v>
      </c>
      <c r="J29" s="170">
        <f t="shared" si="7"/>
        <v>0</v>
      </c>
      <c r="K29" s="170">
        <f t="shared" si="7"/>
        <v>0</v>
      </c>
      <c r="L29" s="170">
        <f t="shared" si="7"/>
        <v>24020</v>
      </c>
      <c r="M29" s="170">
        <f t="shared" si="7"/>
        <v>0</v>
      </c>
      <c r="N29" s="170">
        <f t="shared" si="7"/>
        <v>0</v>
      </c>
      <c r="O29" s="170">
        <f t="shared" si="7"/>
        <v>20000</v>
      </c>
      <c r="P29" s="170">
        <f t="shared" si="7"/>
        <v>41000</v>
      </c>
      <c r="Q29" s="170">
        <f t="shared" si="7"/>
        <v>20000</v>
      </c>
      <c r="R29" s="170">
        <f t="shared" si="7"/>
        <v>30000</v>
      </c>
      <c r="S29" s="170">
        <f t="shared" si="7"/>
        <v>10000</v>
      </c>
      <c r="T29" s="170">
        <f t="shared" si="7"/>
        <v>70000</v>
      </c>
      <c r="U29" s="170">
        <f t="shared" si="7"/>
        <v>20000</v>
      </c>
      <c r="V29" s="170">
        <f t="shared" si="7"/>
        <v>20000</v>
      </c>
      <c r="W29" s="170">
        <f t="shared" si="7"/>
        <v>10000</v>
      </c>
      <c r="X29" s="170">
        <f t="shared" si="7"/>
        <v>10000</v>
      </c>
      <c r="Y29" s="170">
        <f t="shared" si="7"/>
        <v>10000</v>
      </c>
      <c r="Z29" s="170">
        <f t="shared" si="7"/>
        <v>50000</v>
      </c>
      <c r="AA29" s="170">
        <f t="shared" si="7"/>
        <v>0</v>
      </c>
      <c r="AB29" s="170">
        <f t="shared" si="7"/>
        <v>45000</v>
      </c>
      <c r="AC29" s="170">
        <f t="shared" si="7"/>
        <v>10000</v>
      </c>
      <c r="AD29" s="170">
        <f t="shared" si="7"/>
        <v>30000</v>
      </c>
      <c r="AE29" s="159">
        <f t="shared" si="5"/>
        <v>150000</v>
      </c>
      <c r="AF29" s="159">
        <f t="shared" si="6"/>
        <v>346000</v>
      </c>
      <c r="XEC29" s="124"/>
      <c r="XED29" s="124"/>
      <c r="XEE29" s="124"/>
      <c r="XEF29" s="124"/>
      <c r="XEG29" s="124"/>
      <c r="XEH29" s="124"/>
      <c r="XEI29" s="124"/>
      <c r="XEJ29" s="124"/>
      <c r="XEK29" s="124"/>
      <c r="XEL29" s="124"/>
      <c r="XEM29" s="124"/>
      <c r="XEN29" s="124"/>
      <c r="XEO29" s="124"/>
      <c r="XEP29" s="124"/>
      <c r="XEQ29" s="124"/>
      <c r="XER29" s="124"/>
      <c r="XES29" s="124"/>
      <c r="XET29" s="124"/>
      <c r="XEU29" s="124"/>
      <c r="XEV29" s="124"/>
      <c r="XEW29" s="124"/>
      <c r="XEX29" s="124"/>
      <c r="XEY29" s="124"/>
      <c r="XEZ29" s="124"/>
    </row>
    <row r="30" ht="12" customHeight="1" outlineLevel="1" spans="1:32 16357:16380">
      <c r="A30" s="144" t="s">
        <v>83</v>
      </c>
      <c r="B30" s="173" t="s">
        <v>84</v>
      </c>
      <c r="C30" s="174" t="s">
        <v>85</v>
      </c>
      <c r="D30" s="146" t="s">
        <v>86</v>
      </c>
      <c r="E30" s="146" t="s">
        <v>39</v>
      </c>
      <c r="F30" s="147"/>
      <c r="G30" s="148">
        <v>10000</v>
      </c>
      <c r="H30" s="148">
        <v>10000</v>
      </c>
      <c r="I30" s="149"/>
      <c r="J30" s="149"/>
      <c r="K30" s="150"/>
      <c r="L30" s="150"/>
      <c r="M30" s="148">
        <v>10000</v>
      </c>
      <c r="N30" s="148"/>
      <c r="O30" s="149"/>
      <c r="P30" s="149">
        <v>5000</v>
      </c>
      <c r="Q30" s="150">
        <v>10000</v>
      </c>
      <c r="R30" s="150"/>
      <c r="S30" s="148"/>
      <c r="T30" s="148"/>
      <c r="U30" s="149">
        <v>10000</v>
      </c>
      <c r="V30" s="149"/>
      <c r="W30" s="150"/>
      <c r="X30" s="150"/>
      <c r="Y30" s="148"/>
      <c r="Z30" s="148">
        <v>10000</v>
      </c>
      <c r="AA30" s="149"/>
      <c r="AB30" s="149"/>
      <c r="AC30" s="150"/>
      <c r="AD30" s="150"/>
      <c r="AE30" s="151">
        <f t="shared" si="5"/>
        <v>40000</v>
      </c>
      <c r="AF30" s="152">
        <f t="shared" si="6"/>
        <v>25000</v>
      </c>
    </row>
    <row r="31" ht="12" customHeight="1" outlineLevel="1" spans="1:32 16357:16380">
      <c r="A31" s="144" t="s">
        <v>83</v>
      </c>
      <c r="B31" s="173" t="s">
        <v>87</v>
      </c>
      <c r="C31" s="174" t="s">
        <v>88</v>
      </c>
      <c r="D31" s="146" t="s">
        <v>86</v>
      </c>
      <c r="E31" s="146" t="s">
        <v>39</v>
      </c>
      <c r="F31" s="147"/>
      <c r="G31" s="148">
        <v>10000</v>
      </c>
      <c r="H31" s="148">
        <v>10000</v>
      </c>
      <c r="I31" s="149"/>
      <c r="J31" s="149"/>
      <c r="K31" s="150"/>
      <c r="L31" s="150"/>
      <c r="M31" s="148"/>
      <c r="N31" s="148"/>
      <c r="O31" s="149">
        <v>10000</v>
      </c>
      <c r="P31" s="149"/>
      <c r="Q31" s="150"/>
      <c r="R31" s="150"/>
      <c r="S31" s="148">
        <v>10000</v>
      </c>
      <c r="T31" s="148"/>
      <c r="U31" s="149"/>
      <c r="V31" s="149"/>
      <c r="W31" s="150"/>
      <c r="X31" s="150"/>
      <c r="Y31" s="148"/>
      <c r="Z31" s="148"/>
      <c r="AA31" s="149"/>
      <c r="AB31" s="149"/>
      <c r="AC31" s="150"/>
      <c r="AD31" s="150"/>
      <c r="AE31" s="151">
        <f t="shared" si="5"/>
        <v>30000</v>
      </c>
      <c r="AF31" s="152">
        <f t="shared" si="6"/>
        <v>10000</v>
      </c>
    </row>
    <row r="32" ht="12" customHeight="1" outlineLevel="1" spans="1:32 16357:16380">
      <c r="A32" s="144" t="s">
        <v>83</v>
      </c>
      <c r="B32" s="173" t="s">
        <v>89</v>
      </c>
      <c r="C32" s="174" t="s">
        <v>90</v>
      </c>
      <c r="D32" s="146" t="s">
        <v>86</v>
      </c>
      <c r="E32" s="146" t="s">
        <v>39</v>
      </c>
      <c r="F32" s="147"/>
      <c r="G32" s="148">
        <v>3000</v>
      </c>
      <c r="H32" s="148">
        <v>3000</v>
      </c>
      <c r="I32" s="149">
        <v>7000</v>
      </c>
      <c r="J32" s="149"/>
      <c r="K32" s="150">
        <v>7000</v>
      </c>
      <c r="L32" s="150"/>
      <c r="M32" s="148"/>
      <c r="N32" s="148"/>
      <c r="O32" s="149"/>
      <c r="P32" s="149"/>
      <c r="Q32" s="150">
        <v>10000</v>
      </c>
      <c r="R32" s="150"/>
      <c r="S32" s="148"/>
      <c r="T32" s="148"/>
      <c r="U32" s="149"/>
      <c r="V32" s="149"/>
      <c r="W32" s="150"/>
      <c r="X32" s="150"/>
      <c r="Y32" s="148"/>
      <c r="Z32" s="148"/>
      <c r="AA32" s="149"/>
      <c r="AB32" s="149"/>
      <c r="AC32" s="150"/>
      <c r="AD32" s="150"/>
      <c r="AE32" s="151">
        <f t="shared" si="5"/>
        <v>27000</v>
      </c>
      <c r="AF32" s="152">
        <f t="shared" si="6"/>
        <v>3000</v>
      </c>
    </row>
    <row r="33" ht="12" customHeight="1" outlineLevel="1" spans="1:51 16357:16380">
      <c r="A33" s="144" t="s">
        <v>83</v>
      </c>
      <c r="B33" s="173" t="s">
        <v>91</v>
      </c>
      <c r="C33" s="174" t="s">
        <v>92</v>
      </c>
      <c r="D33" s="146" t="s">
        <v>86</v>
      </c>
      <c r="E33" s="146" t="s">
        <v>39</v>
      </c>
      <c r="F33" s="147"/>
      <c r="G33" s="148">
        <v>1500</v>
      </c>
      <c r="H33" s="148">
        <v>1500</v>
      </c>
      <c r="I33" s="149">
        <v>8500</v>
      </c>
      <c r="J33" s="149"/>
      <c r="K33" s="150">
        <v>8500</v>
      </c>
      <c r="L33" s="150"/>
      <c r="M33" s="148"/>
      <c r="N33" s="148"/>
      <c r="O33" s="149"/>
      <c r="P33" s="149"/>
      <c r="Q33" s="150">
        <v>10000</v>
      </c>
      <c r="R33" s="150"/>
      <c r="S33" s="148"/>
      <c r="T33" s="148"/>
      <c r="U33" s="149"/>
      <c r="V33" s="149"/>
      <c r="W33" s="150"/>
      <c r="X33" s="150"/>
      <c r="Y33" s="148"/>
      <c r="Z33" s="148"/>
      <c r="AA33" s="149"/>
      <c r="AB33" s="149"/>
      <c r="AC33" s="150"/>
      <c r="AD33" s="150"/>
      <c r="AE33" s="151">
        <f t="shared" si="5"/>
        <v>28500</v>
      </c>
      <c r="AF33" s="152">
        <f t="shared" si="6"/>
        <v>1500</v>
      </c>
    </row>
    <row r="34" ht="12" customHeight="1" outlineLevel="1" spans="1:51 16357:16380">
      <c r="A34" s="144" t="s">
        <v>83</v>
      </c>
      <c r="B34" s="173" t="s">
        <v>93</v>
      </c>
      <c r="C34" s="175" t="s">
        <v>94</v>
      </c>
      <c r="D34" s="146" t="s">
        <v>86</v>
      </c>
      <c r="E34" s="146" t="s">
        <v>39</v>
      </c>
      <c r="F34" s="147"/>
      <c r="G34" s="148"/>
      <c r="H34" s="148"/>
      <c r="I34" s="149"/>
      <c r="J34" s="149"/>
      <c r="K34" s="150"/>
      <c r="L34" s="150"/>
      <c r="M34" s="148"/>
      <c r="N34" s="148"/>
      <c r="O34" s="149">
        <v>10000</v>
      </c>
      <c r="P34" s="149"/>
      <c r="Q34" s="150"/>
      <c r="R34" s="150">
        <v>12000</v>
      </c>
      <c r="S34" s="148"/>
      <c r="T34" s="148">
        <v>3000</v>
      </c>
      <c r="U34" s="149">
        <v>10000</v>
      </c>
      <c r="V34" s="149"/>
      <c r="W34" s="150"/>
      <c r="X34" s="150"/>
      <c r="Y34" s="148">
        <v>10000</v>
      </c>
      <c r="Z34" s="148">
        <v>10000</v>
      </c>
      <c r="AA34" s="149"/>
      <c r="AB34" s="149"/>
      <c r="AC34" s="150"/>
      <c r="AD34" s="150"/>
      <c r="AE34" s="151">
        <f t="shared" si="5"/>
        <v>30000</v>
      </c>
      <c r="AF34" s="152">
        <f t="shared" si="6"/>
        <v>25000</v>
      </c>
    </row>
    <row r="35" s="121" customFormat="1" ht="15.75" outlineLevel="1" spans="1:51 16357:16380">
      <c r="A35" s="155" t="s">
        <v>95</v>
      </c>
      <c r="B35" s="155"/>
      <c r="C35" s="156"/>
      <c r="D35" s="157"/>
      <c r="E35" s="157"/>
      <c r="F35" s="170">
        <f>SUM(F30:F30)</f>
        <v>0</v>
      </c>
      <c r="G35" s="170">
        <f>SUM(G30:G34)</f>
        <v>24500</v>
      </c>
      <c r="H35" s="170">
        <f>SUM(H30:H34)</f>
        <v>24500</v>
      </c>
      <c r="I35" s="170">
        <f t="shared" ref="I35:U35" si="8">SUM(I30:I34)</f>
        <v>15500</v>
      </c>
      <c r="J35" s="170">
        <f t="shared" si="8"/>
        <v>0</v>
      </c>
      <c r="K35" s="170">
        <f t="shared" si="8"/>
        <v>15500</v>
      </c>
      <c r="L35" s="170">
        <f t="shared" si="8"/>
        <v>0</v>
      </c>
      <c r="M35" s="170">
        <f t="shared" si="8"/>
        <v>10000</v>
      </c>
      <c r="N35" s="170">
        <f t="shared" si="8"/>
        <v>0</v>
      </c>
      <c r="O35" s="170">
        <f t="shared" si="8"/>
        <v>20000</v>
      </c>
      <c r="P35" s="170">
        <f t="shared" si="8"/>
        <v>5000</v>
      </c>
      <c r="Q35" s="170">
        <f t="shared" si="8"/>
        <v>30000</v>
      </c>
      <c r="R35" s="170">
        <f t="shared" si="8"/>
        <v>12000</v>
      </c>
      <c r="S35" s="170">
        <f t="shared" si="8"/>
        <v>10000</v>
      </c>
      <c r="T35" s="170">
        <f t="shared" si="8"/>
        <v>3000</v>
      </c>
      <c r="U35" s="170">
        <f t="shared" si="8"/>
        <v>20000</v>
      </c>
      <c r="V35" s="170"/>
      <c r="W35" s="170">
        <f>SUM(W30:W34)</f>
        <v>0</v>
      </c>
      <c r="X35" s="170"/>
      <c r="Y35" s="170">
        <f>SUM(Y30:Y34)</f>
        <v>10000</v>
      </c>
      <c r="Z35" s="170">
        <f>SUM(Z30:Z34)</f>
        <v>20000</v>
      </c>
      <c r="AA35" s="170">
        <f>SUM(AA30:AA34)</f>
        <v>0</v>
      </c>
      <c r="AB35" s="170"/>
      <c r="AC35" s="170">
        <f>SUM(AC30:AC34)</f>
        <v>0</v>
      </c>
      <c r="AD35" s="170"/>
      <c r="AE35" s="159">
        <f t="shared" si="5"/>
        <v>155500</v>
      </c>
      <c r="AF35" s="159">
        <f t="shared" si="6"/>
        <v>64500</v>
      </c>
      <c r="XEC35" s="124"/>
      <c r="XED35" s="124"/>
      <c r="XEE35" s="124"/>
      <c r="XEF35" s="124"/>
      <c r="XEG35" s="124"/>
      <c r="XEH35" s="124"/>
      <c r="XEI35" s="124"/>
      <c r="XEJ35" s="124"/>
      <c r="XEK35" s="124"/>
      <c r="XEL35" s="124"/>
      <c r="XEM35" s="124"/>
      <c r="XEN35" s="124"/>
      <c r="XEO35" s="124"/>
      <c r="XEP35" s="124"/>
      <c r="XEQ35" s="124"/>
      <c r="XER35" s="124"/>
      <c r="XES35" s="124"/>
      <c r="XET35" s="124"/>
      <c r="XEU35" s="124"/>
      <c r="XEV35" s="124"/>
      <c r="XEW35" s="124"/>
      <c r="XEX35" s="124"/>
      <c r="XEY35" s="124"/>
      <c r="XEZ35" s="124"/>
    </row>
    <row r="36" spans="1:51 16357:16380">
      <c r="A36" s="176" t="s">
        <v>96</v>
      </c>
      <c r="B36" s="144" t="s">
        <v>97</v>
      </c>
      <c r="C36" s="175" t="s">
        <v>98</v>
      </c>
      <c r="D36" s="164" t="s">
        <v>54</v>
      </c>
      <c r="E36" s="164" t="s">
        <v>39</v>
      </c>
      <c r="F36" s="147" t="e">
        <f>#REF!+#REF!+#REF!+#REF!+#REF!</f>
        <v>#REF!</v>
      </c>
      <c r="G36" s="148">
        <v>20000</v>
      </c>
      <c r="H36" s="148">
        <v>20000</v>
      </c>
      <c r="I36" s="149"/>
      <c r="J36" s="149"/>
      <c r="K36" s="150">
        <v>32500</v>
      </c>
      <c r="L36" s="150">
        <v>32500</v>
      </c>
      <c r="M36" s="148"/>
      <c r="N36" s="148">
        <v>20000</v>
      </c>
      <c r="O36" s="149">
        <v>20000</v>
      </c>
      <c r="P36" s="149">
        <v>15000</v>
      </c>
      <c r="Q36" s="150"/>
      <c r="R36" s="150">
        <v>35000</v>
      </c>
      <c r="S36" s="148">
        <v>20000</v>
      </c>
      <c r="T36" s="148"/>
      <c r="U36" s="149"/>
      <c r="V36" s="149"/>
      <c r="W36" s="150"/>
      <c r="X36" s="150"/>
      <c r="Y36" s="148"/>
      <c r="Z36" s="148"/>
      <c r="AA36" s="149"/>
      <c r="AB36" s="149"/>
      <c r="AC36" s="150"/>
      <c r="AD36" s="150"/>
      <c r="AE36" s="151">
        <f t="shared" si="5"/>
        <v>92500</v>
      </c>
      <c r="AF36" s="152">
        <f t="shared" si="6"/>
        <v>122500</v>
      </c>
    </row>
    <row r="37" spans="1:51 16357:16380">
      <c r="A37" s="176" t="s">
        <v>96</v>
      </c>
      <c r="B37" s="177" t="s">
        <v>99</v>
      </c>
      <c r="C37" s="175" t="s">
        <v>100</v>
      </c>
      <c r="D37" s="164" t="s">
        <v>54</v>
      </c>
      <c r="E37" s="164" t="s">
        <v>39</v>
      </c>
      <c r="F37" s="147" t="e">
        <f>#REF!+#REF!+#REF!+#REF!+#REF!</f>
        <v>#REF!</v>
      </c>
      <c r="G37" s="148">
        <v>10000</v>
      </c>
      <c r="H37" s="148">
        <v>10800</v>
      </c>
      <c r="I37" s="149"/>
      <c r="J37" s="149"/>
      <c r="K37" s="150"/>
      <c r="L37" s="150"/>
      <c r="M37" s="148"/>
      <c r="N37" s="148"/>
      <c r="O37" s="149">
        <v>20000</v>
      </c>
      <c r="P37" s="149"/>
      <c r="Q37" s="150"/>
      <c r="R37" s="150"/>
      <c r="S37" s="148">
        <v>20000</v>
      </c>
      <c r="T37" s="148"/>
      <c r="U37" s="149"/>
      <c r="V37" s="149"/>
      <c r="W37" s="150">
        <v>10000</v>
      </c>
      <c r="X37" s="150"/>
      <c r="Y37" s="148"/>
      <c r="Z37" s="148"/>
      <c r="AA37" s="149"/>
      <c r="AB37" s="149"/>
      <c r="AC37" s="150"/>
      <c r="AD37" s="150"/>
      <c r="AE37" s="151">
        <f t="shared" si="5"/>
        <v>60000</v>
      </c>
      <c r="AF37" s="152">
        <f t="shared" si="6"/>
        <v>10800</v>
      </c>
    </row>
    <row r="38" s="121" customFormat="1" ht="15.75" spans="1:51 16357:16380">
      <c r="A38" s="155" t="s">
        <v>101</v>
      </c>
      <c r="B38" s="155"/>
      <c r="C38" s="156"/>
      <c r="D38" s="157"/>
      <c r="E38" s="157"/>
      <c r="F38" s="158" t="e">
        <f>SUM(F36:F37)</f>
        <v>#REF!</v>
      </c>
      <c r="G38" s="159">
        <f>SUM(G36:G37)</f>
        <v>30000</v>
      </c>
      <c r="H38" s="159">
        <f>SUM(H36:H37)</f>
        <v>30800</v>
      </c>
      <c r="I38" s="159">
        <f t="shared" ref="I38:AC38" si="9">SUM(I36:I37)</f>
        <v>0</v>
      </c>
      <c r="J38" s="159">
        <f t="shared" si="9"/>
        <v>0</v>
      </c>
      <c r="K38" s="159">
        <f t="shared" si="9"/>
        <v>32500</v>
      </c>
      <c r="L38" s="159">
        <f t="shared" si="9"/>
        <v>32500</v>
      </c>
      <c r="M38" s="159">
        <f t="shared" si="9"/>
        <v>0</v>
      </c>
      <c r="N38" s="159">
        <f t="shared" si="9"/>
        <v>20000</v>
      </c>
      <c r="O38" s="159">
        <f t="shared" si="9"/>
        <v>40000</v>
      </c>
      <c r="P38" s="159">
        <f t="shared" si="9"/>
        <v>15000</v>
      </c>
      <c r="Q38" s="159">
        <f t="shared" si="9"/>
        <v>0</v>
      </c>
      <c r="R38" s="159">
        <f t="shared" si="9"/>
        <v>35000</v>
      </c>
      <c r="S38" s="159">
        <f t="shared" si="9"/>
        <v>40000</v>
      </c>
      <c r="T38" s="159"/>
      <c r="U38" s="159">
        <f t="shared" si="9"/>
        <v>0</v>
      </c>
      <c r="V38" s="159"/>
      <c r="W38" s="159">
        <f t="shared" si="9"/>
        <v>10000</v>
      </c>
      <c r="X38" s="159">
        <f t="shared" si="9"/>
        <v>0</v>
      </c>
      <c r="Y38" s="159">
        <f t="shared" si="9"/>
        <v>0</v>
      </c>
      <c r="Z38" s="159">
        <f t="shared" si="9"/>
        <v>0</v>
      </c>
      <c r="AA38" s="159">
        <f t="shared" si="9"/>
        <v>0</v>
      </c>
      <c r="AB38" s="159">
        <f t="shared" si="9"/>
        <v>0</v>
      </c>
      <c r="AC38" s="159">
        <f t="shared" si="9"/>
        <v>0</v>
      </c>
      <c r="AD38" s="159"/>
      <c r="AE38" s="159">
        <f t="shared" si="5"/>
        <v>152500</v>
      </c>
      <c r="AF38" s="159">
        <f t="shared" ref="AF38:AF48" si="10">H38+J38+L38+N38+P38+R38+T38+V38+X38+Z38+AB38+AD38</f>
        <v>133300</v>
      </c>
    </row>
    <row r="39" ht="12" customHeight="1" outlineLevel="1" spans="1:51 16357:16380">
      <c r="A39" s="176" t="s">
        <v>102</v>
      </c>
      <c r="B39" s="175" t="s">
        <v>103</v>
      </c>
      <c r="C39" s="165" t="s">
        <v>104</v>
      </c>
      <c r="D39" s="178" t="s">
        <v>54</v>
      </c>
      <c r="E39" s="179" t="s">
        <v>39</v>
      </c>
      <c r="F39" s="147"/>
      <c r="G39" s="148">
        <v>3030</v>
      </c>
      <c r="H39" s="148">
        <v>3030</v>
      </c>
      <c r="I39" s="149"/>
      <c r="J39" s="149"/>
      <c r="K39" s="150"/>
      <c r="L39" s="150"/>
      <c r="M39" s="148"/>
      <c r="N39" s="148"/>
      <c r="O39" s="149"/>
      <c r="P39" s="149"/>
      <c r="Q39" s="150"/>
      <c r="R39" s="150"/>
      <c r="S39" s="148"/>
      <c r="T39" s="148"/>
      <c r="U39" s="149"/>
      <c r="V39" s="149"/>
      <c r="W39" s="150"/>
      <c r="X39" s="150"/>
      <c r="Y39" s="148"/>
      <c r="Z39" s="148"/>
      <c r="AA39" s="149"/>
      <c r="AB39" s="149"/>
      <c r="AC39" s="150"/>
      <c r="AD39" s="150"/>
      <c r="AE39" s="151">
        <f t="shared" si="5"/>
        <v>3030</v>
      </c>
      <c r="AF39" s="152">
        <f t="shared" si="10"/>
        <v>3030</v>
      </c>
    </row>
    <row r="40" ht="12" customHeight="1" outlineLevel="1" spans="1:51 16357:16380">
      <c r="A40" s="176" t="s">
        <v>102</v>
      </c>
      <c r="B40" s="175" t="s">
        <v>105</v>
      </c>
      <c r="C40" s="165" t="s">
        <v>106</v>
      </c>
      <c r="D40" s="178" t="s">
        <v>54</v>
      </c>
      <c r="E40" s="179" t="s">
        <v>39</v>
      </c>
      <c r="F40" s="147"/>
      <c r="G40" s="148">
        <v>3030</v>
      </c>
      <c r="H40" s="148">
        <v>3030</v>
      </c>
      <c r="I40" s="149"/>
      <c r="J40" s="149"/>
      <c r="K40" s="150"/>
      <c r="L40" s="150"/>
      <c r="M40" s="148"/>
      <c r="N40" s="148"/>
      <c r="O40" s="149"/>
      <c r="P40" s="149"/>
      <c r="Q40" s="150"/>
      <c r="R40" s="150"/>
      <c r="S40" s="148"/>
      <c r="T40" s="148"/>
      <c r="U40" s="149"/>
      <c r="V40" s="149"/>
      <c r="W40" s="150"/>
      <c r="X40" s="150"/>
      <c r="Y40" s="148"/>
      <c r="Z40" s="148"/>
      <c r="AA40" s="149"/>
      <c r="AB40" s="149"/>
      <c r="AC40" s="150"/>
      <c r="AD40" s="150"/>
      <c r="AE40" s="151">
        <f t="shared" si="5"/>
        <v>3030</v>
      </c>
      <c r="AF40" s="152">
        <f t="shared" si="10"/>
        <v>3030</v>
      </c>
    </row>
    <row r="41" ht="12" customHeight="1" outlineLevel="1" spans="1:51 16357:16380">
      <c r="A41" s="176" t="s">
        <v>102</v>
      </c>
      <c r="B41" s="175" t="s">
        <v>107</v>
      </c>
      <c r="C41" s="165" t="s">
        <v>108</v>
      </c>
      <c r="D41" s="178" t="s">
        <v>54</v>
      </c>
      <c r="E41" s="179" t="s">
        <v>39</v>
      </c>
      <c r="F41" s="147"/>
      <c r="G41" s="148">
        <v>4040</v>
      </c>
      <c r="H41" s="148">
        <v>4040</v>
      </c>
      <c r="I41" s="149"/>
      <c r="J41" s="149"/>
      <c r="K41" s="150"/>
      <c r="L41" s="150"/>
      <c r="M41" s="148"/>
      <c r="N41" s="148"/>
      <c r="O41" s="149"/>
      <c r="P41" s="149"/>
      <c r="Q41" s="150"/>
      <c r="R41" s="150"/>
      <c r="S41" s="148"/>
      <c r="T41" s="148"/>
      <c r="U41" s="149"/>
      <c r="V41" s="149"/>
      <c r="W41" s="150"/>
      <c r="X41" s="150"/>
      <c r="Y41" s="148"/>
      <c r="Z41" s="148"/>
      <c r="AA41" s="149"/>
      <c r="AB41" s="149"/>
      <c r="AC41" s="150"/>
      <c r="AD41" s="150"/>
      <c r="AE41" s="151">
        <f t="shared" si="5"/>
        <v>4040</v>
      </c>
      <c r="AF41" s="152">
        <f t="shared" si="10"/>
        <v>4040</v>
      </c>
    </row>
    <row r="42" ht="12" customHeight="1" outlineLevel="1" spans="1:51 16357:16380">
      <c r="A42" s="176" t="s">
        <v>102</v>
      </c>
      <c r="B42" s="175" t="s">
        <v>109</v>
      </c>
      <c r="C42" s="165" t="s">
        <v>110</v>
      </c>
      <c r="D42" s="178" t="s">
        <v>54</v>
      </c>
      <c r="E42" s="179" t="s">
        <v>39</v>
      </c>
      <c r="F42" s="147"/>
      <c r="G42" s="148">
        <v>4040</v>
      </c>
      <c r="H42" s="148">
        <v>4040</v>
      </c>
      <c r="I42" s="149"/>
      <c r="J42" s="149"/>
      <c r="K42" s="150"/>
      <c r="L42" s="150"/>
      <c r="M42" s="148"/>
      <c r="N42" s="148"/>
      <c r="O42" s="149"/>
      <c r="P42" s="149"/>
      <c r="Q42" s="150"/>
      <c r="R42" s="150"/>
      <c r="S42" s="148"/>
      <c r="T42" s="148"/>
      <c r="U42" s="149"/>
      <c r="V42" s="149"/>
      <c r="W42" s="150"/>
      <c r="X42" s="150"/>
      <c r="Y42" s="148"/>
      <c r="Z42" s="148"/>
      <c r="AA42" s="149"/>
      <c r="AB42" s="149"/>
      <c r="AC42" s="150"/>
      <c r="AD42" s="150"/>
      <c r="AE42" s="151">
        <f t="shared" si="5"/>
        <v>4040</v>
      </c>
      <c r="AF42" s="152">
        <f t="shared" si="10"/>
        <v>4040</v>
      </c>
    </row>
    <row r="43" ht="12" customHeight="1" outlineLevel="1" spans="1:51 16357:16380">
      <c r="A43" s="176" t="s">
        <v>102</v>
      </c>
      <c r="B43" s="175" t="s">
        <v>111</v>
      </c>
      <c r="C43" s="165" t="s">
        <v>112</v>
      </c>
      <c r="D43" s="178" t="s">
        <v>54</v>
      </c>
      <c r="E43" s="179" t="s">
        <v>39</v>
      </c>
      <c r="F43" s="147">
        <v>0</v>
      </c>
      <c r="G43" s="148"/>
      <c r="H43" s="148"/>
      <c r="I43" s="149"/>
      <c r="J43" s="149"/>
      <c r="K43" s="150"/>
      <c r="L43" s="150"/>
      <c r="M43" s="148"/>
      <c r="N43" s="148"/>
      <c r="O43" s="149">
        <v>5000</v>
      </c>
      <c r="P43" s="149"/>
      <c r="Q43" s="150">
        <v>5000</v>
      </c>
      <c r="R43" s="150"/>
      <c r="S43" s="148">
        <v>5000</v>
      </c>
      <c r="T43" s="148"/>
      <c r="U43" s="149">
        <v>5000</v>
      </c>
      <c r="V43" s="149"/>
      <c r="W43" s="150">
        <v>5000</v>
      </c>
      <c r="X43" s="150"/>
      <c r="Y43" s="148">
        <v>5000</v>
      </c>
      <c r="Z43" s="148"/>
      <c r="AA43" s="149">
        <v>5000</v>
      </c>
      <c r="AB43" s="149"/>
      <c r="AC43" s="150">
        <v>5000</v>
      </c>
      <c r="AD43" s="150"/>
      <c r="AE43" s="151">
        <f t="shared" si="5"/>
        <v>40000</v>
      </c>
      <c r="AF43" s="152">
        <f t="shared" si="10"/>
        <v>0</v>
      </c>
    </row>
    <row r="44" s="122" customFormat="1" ht="12" customHeight="1" outlineLevel="1" spans="1:51 16357:16380">
      <c r="A44" s="176" t="s">
        <v>102</v>
      </c>
      <c r="B44" s="175" t="s">
        <v>81</v>
      </c>
      <c r="C44" s="165"/>
      <c r="D44" s="178" t="s">
        <v>54</v>
      </c>
      <c r="E44" s="179" t="s">
        <v>39</v>
      </c>
      <c r="F44" s="147">
        <v>0</v>
      </c>
      <c r="G44" s="148"/>
      <c r="H44" s="148"/>
      <c r="I44" s="149"/>
      <c r="J44" s="149"/>
      <c r="K44" s="150"/>
      <c r="L44" s="150"/>
      <c r="M44" s="148"/>
      <c r="N44" s="148"/>
      <c r="O44" s="149">
        <v>5000</v>
      </c>
      <c r="P44" s="149"/>
      <c r="Q44" s="150">
        <v>5000</v>
      </c>
      <c r="R44" s="150"/>
      <c r="S44" s="148">
        <v>5000</v>
      </c>
      <c r="T44" s="148"/>
      <c r="U44" s="149">
        <v>5000</v>
      </c>
      <c r="V44" s="149"/>
      <c r="W44" s="150">
        <v>5000</v>
      </c>
      <c r="X44" s="150"/>
      <c r="Y44" s="148">
        <v>5000</v>
      </c>
      <c r="Z44" s="148"/>
      <c r="AA44" s="149">
        <v>5000</v>
      </c>
      <c r="AB44" s="149"/>
      <c r="AC44" s="150">
        <v>5000</v>
      </c>
      <c r="AD44" s="150"/>
      <c r="AE44" s="151">
        <f t="shared" si="5"/>
        <v>40000</v>
      </c>
      <c r="AF44" s="152">
        <f t="shared" si="10"/>
        <v>0</v>
      </c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</row>
    <row r="45" s="122" customFormat="1" ht="12" customHeight="1" outlineLevel="1" spans="1:51 16357:16380">
      <c r="A45" s="176" t="s">
        <v>102</v>
      </c>
      <c r="B45" s="175" t="s">
        <v>113</v>
      </c>
      <c r="C45" s="165"/>
      <c r="D45" s="178" t="s">
        <v>54</v>
      </c>
      <c r="E45" s="179" t="s">
        <v>39</v>
      </c>
      <c r="F45" s="147">
        <v>0</v>
      </c>
      <c r="G45" s="148"/>
      <c r="H45" s="148"/>
      <c r="I45" s="149"/>
      <c r="J45" s="149"/>
      <c r="K45" s="150"/>
      <c r="L45" s="150"/>
      <c r="M45" s="148"/>
      <c r="N45" s="148"/>
      <c r="O45" s="149"/>
      <c r="P45" s="149"/>
      <c r="Q45" s="150">
        <v>5000</v>
      </c>
      <c r="R45" s="150"/>
      <c r="S45" s="148">
        <v>5000</v>
      </c>
      <c r="T45" s="148"/>
      <c r="U45" s="149"/>
      <c r="V45" s="149"/>
      <c r="W45" s="150">
        <v>5000</v>
      </c>
      <c r="X45" s="150"/>
      <c r="Y45" s="148"/>
      <c r="Z45" s="148"/>
      <c r="AA45" s="149">
        <v>5000</v>
      </c>
      <c r="AB45" s="149"/>
      <c r="AC45" s="150"/>
      <c r="AD45" s="150"/>
      <c r="AE45" s="151">
        <f t="shared" si="5"/>
        <v>20000</v>
      </c>
      <c r="AF45" s="152">
        <f t="shared" si="10"/>
        <v>0</v>
      </c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</row>
    <row r="46" s="122" customFormat="1" ht="12" customHeight="1" outlineLevel="1" spans="1:51 16357:16380">
      <c r="A46" s="176" t="s">
        <v>102</v>
      </c>
      <c r="B46" s="175" t="s">
        <v>114</v>
      </c>
      <c r="C46" s="165"/>
      <c r="D46" s="178" t="s">
        <v>54</v>
      </c>
      <c r="E46" s="179" t="s">
        <v>39</v>
      </c>
      <c r="F46" s="147">
        <v>0</v>
      </c>
      <c r="G46" s="148"/>
      <c r="H46" s="148"/>
      <c r="I46" s="149"/>
      <c r="J46" s="149"/>
      <c r="K46" s="150"/>
      <c r="L46" s="150"/>
      <c r="M46" s="148"/>
      <c r="N46" s="148"/>
      <c r="O46" s="149"/>
      <c r="P46" s="149"/>
      <c r="Q46" s="150">
        <v>5000</v>
      </c>
      <c r="R46" s="150"/>
      <c r="S46" s="148">
        <v>5000</v>
      </c>
      <c r="T46" s="148"/>
      <c r="U46" s="149"/>
      <c r="V46" s="149"/>
      <c r="W46" s="150">
        <v>5000</v>
      </c>
      <c r="X46" s="150"/>
      <c r="Y46" s="148"/>
      <c r="Z46" s="148"/>
      <c r="AA46" s="149">
        <v>5000</v>
      </c>
      <c r="AB46" s="149"/>
      <c r="AC46" s="150"/>
      <c r="AD46" s="150"/>
      <c r="AE46" s="151">
        <f t="shared" ref="AE46:AE48" si="11">G46+I46+K46+M46+O46+Q46+S46+U46+W46+Y46+AA46+AC46</f>
        <v>20000</v>
      </c>
      <c r="AF46" s="152">
        <f t="shared" si="10"/>
        <v>0</v>
      </c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</row>
    <row r="47" s="122" customFormat="1" ht="12" customHeight="1" outlineLevel="1" spans="1:51 16357:16380">
      <c r="A47" s="176" t="s">
        <v>102</v>
      </c>
      <c r="B47" s="180" t="s">
        <v>115</v>
      </c>
      <c r="C47" s="165" t="s">
        <v>116</v>
      </c>
      <c r="D47" s="178" t="s">
        <v>54</v>
      </c>
      <c r="E47" s="179" t="s">
        <v>39</v>
      </c>
      <c r="F47" s="147">
        <v>0</v>
      </c>
      <c r="G47" s="148"/>
      <c r="H47" s="148"/>
      <c r="I47" s="149"/>
      <c r="J47" s="149"/>
      <c r="K47" s="150"/>
      <c r="L47" s="150"/>
      <c r="M47" s="148"/>
      <c r="N47" s="148"/>
      <c r="O47" s="149"/>
      <c r="P47" s="149"/>
      <c r="Q47" s="150"/>
      <c r="R47" s="150"/>
      <c r="S47" s="148"/>
      <c r="T47" s="148"/>
      <c r="U47" s="149"/>
      <c r="V47" s="149"/>
      <c r="W47" s="150"/>
      <c r="X47" s="150"/>
      <c r="Y47" s="148"/>
      <c r="Z47" s="148"/>
      <c r="AA47" s="149"/>
      <c r="AB47" s="149">
        <v>5050</v>
      </c>
      <c r="AC47" s="150"/>
      <c r="AD47" s="150">
        <v>5050</v>
      </c>
      <c r="AE47" s="151">
        <f t="shared" si="11"/>
        <v>0</v>
      </c>
      <c r="AF47" s="152">
        <f t="shared" si="10"/>
        <v>10100</v>
      </c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</row>
    <row r="48" s="121" customFormat="1" ht="21" customHeight="1" spans="1:51 16357:16380">
      <c r="A48" s="181" t="s">
        <v>117</v>
      </c>
      <c r="B48" s="182"/>
      <c r="C48" s="182"/>
      <c r="D48" s="182"/>
      <c r="E48" s="182"/>
      <c r="F48" s="183">
        <f t="shared" ref="F48" si="12">SUM(F39:F43)</f>
        <v>0</v>
      </c>
      <c r="G48" s="183">
        <f>SUM(G39:G47)</f>
        <v>14140</v>
      </c>
      <c r="H48" s="183">
        <f>SUM(H39:H47)</f>
        <v>14140</v>
      </c>
      <c r="I48" s="183">
        <f>SUM(I39:I47)</f>
        <v>0</v>
      </c>
      <c r="J48" s="183">
        <f>SUM(J39:J47)</f>
        <v>0</v>
      </c>
      <c r="K48" s="183">
        <f t="shared" ref="K48:AD48" si="13">SUM(K39:K47)</f>
        <v>0</v>
      </c>
      <c r="L48" s="183">
        <f t="shared" si="13"/>
        <v>0</v>
      </c>
      <c r="M48" s="183">
        <f t="shared" si="13"/>
        <v>0</v>
      </c>
      <c r="N48" s="183">
        <f t="shared" si="13"/>
        <v>0</v>
      </c>
      <c r="O48" s="183">
        <f t="shared" si="13"/>
        <v>10000</v>
      </c>
      <c r="P48" s="183">
        <f t="shared" si="13"/>
        <v>0</v>
      </c>
      <c r="Q48" s="183">
        <f t="shared" si="13"/>
        <v>20000</v>
      </c>
      <c r="R48" s="183">
        <f t="shared" si="13"/>
        <v>0</v>
      </c>
      <c r="S48" s="183">
        <f t="shared" si="13"/>
        <v>20000</v>
      </c>
      <c r="T48" s="183">
        <f t="shared" si="13"/>
        <v>0</v>
      </c>
      <c r="U48" s="183">
        <f t="shared" si="13"/>
        <v>10000</v>
      </c>
      <c r="V48" s="183">
        <f t="shared" si="13"/>
        <v>0</v>
      </c>
      <c r="W48" s="183">
        <f t="shared" si="13"/>
        <v>20000</v>
      </c>
      <c r="X48" s="183">
        <f t="shared" si="13"/>
        <v>0</v>
      </c>
      <c r="Y48" s="183">
        <f t="shared" si="13"/>
        <v>10000</v>
      </c>
      <c r="Z48" s="183">
        <f t="shared" si="13"/>
        <v>0</v>
      </c>
      <c r="AA48" s="183">
        <f t="shared" si="13"/>
        <v>20000</v>
      </c>
      <c r="AB48" s="183">
        <f t="shared" si="13"/>
        <v>5050</v>
      </c>
      <c r="AC48" s="183">
        <f t="shared" si="13"/>
        <v>10000</v>
      </c>
      <c r="AD48" s="183">
        <f t="shared" si="13"/>
        <v>5050</v>
      </c>
      <c r="AE48" s="159">
        <f t="shared" si="11"/>
        <v>134140</v>
      </c>
      <c r="AF48" s="159">
        <f t="shared" si="10"/>
        <v>24240</v>
      </c>
    </row>
    <row r="49" ht="12" customHeight="1" outlineLevel="1" spans="1:51">
      <c r="A49" s="144" t="s">
        <v>118</v>
      </c>
      <c r="B49" s="165" t="s">
        <v>119</v>
      </c>
      <c r="C49" s="165" t="s">
        <v>120</v>
      </c>
      <c r="D49" s="169" t="s">
        <v>74</v>
      </c>
      <c r="E49" s="169" t="s">
        <v>39</v>
      </c>
      <c r="F49" s="147"/>
      <c r="G49" s="148">
        <v>1868</v>
      </c>
      <c r="H49" s="148">
        <v>1868</v>
      </c>
      <c r="I49" s="149"/>
      <c r="J49" s="149">
        <v>5100</v>
      </c>
      <c r="K49" s="150">
        <v>5100</v>
      </c>
      <c r="L49" s="150"/>
      <c r="M49" s="148"/>
      <c r="N49" s="148"/>
      <c r="O49" s="149"/>
      <c r="P49" s="149"/>
      <c r="Q49" s="150"/>
      <c r="R49" s="150"/>
      <c r="S49" s="148"/>
      <c r="T49" s="148"/>
      <c r="U49" s="149"/>
      <c r="V49" s="149"/>
      <c r="W49" s="150"/>
      <c r="X49" s="150"/>
      <c r="Y49" s="148"/>
      <c r="Z49" s="148"/>
      <c r="AA49" s="149"/>
      <c r="AB49" s="149"/>
      <c r="AC49" s="150"/>
      <c r="AD49" s="150"/>
      <c r="AE49" s="151">
        <f t="shared" ref="AE49:AE62" si="14">G49+I49+K49+M49+O49+Q49+S49+U49+W49+Y49+AA49+AC49</f>
        <v>6968</v>
      </c>
      <c r="AF49" s="152">
        <f t="shared" ref="AF49:AF55" si="15">H49+J49+L49+N49+P49+R49+T49+V49+X49+Z49+AB49+AD49</f>
        <v>6968</v>
      </c>
    </row>
    <row r="50" ht="12" customHeight="1" outlineLevel="1" spans="1:51">
      <c r="A50" s="144" t="s">
        <v>118</v>
      </c>
      <c r="B50" s="165" t="s">
        <v>121</v>
      </c>
      <c r="C50" s="165" t="s">
        <v>122</v>
      </c>
      <c r="D50" s="169" t="s">
        <v>74</v>
      </c>
      <c r="E50" s="169" t="s">
        <v>39</v>
      </c>
      <c r="F50" s="147"/>
      <c r="G50" s="148">
        <v>88336</v>
      </c>
      <c r="H50" s="148">
        <v>86684</v>
      </c>
      <c r="I50" s="149">
        <v>73110</v>
      </c>
      <c r="J50" s="149">
        <v>98652</v>
      </c>
      <c r="K50" s="150">
        <v>108200</v>
      </c>
      <c r="L50" s="150">
        <v>96356</v>
      </c>
      <c r="M50" s="148">
        <v>51132</v>
      </c>
      <c r="N50" s="148">
        <v>54586</v>
      </c>
      <c r="O50" s="149"/>
      <c r="P50" s="149">
        <v>56235</v>
      </c>
      <c r="Q50" s="150"/>
      <c r="R50" s="150">
        <v>38482</v>
      </c>
      <c r="S50" s="148"/>
      <c r="T50" s="148">
        <v>21002</v>
      </c>
      <c r="U50" s="149"/>
      <c r="V50" s="149">
        <v>6281</v>
      </c>
      <c r="W50" s="150"/>
      <c r="X50" s="150">
        <v>2856</v>
      </c>
      <c r="Y50" s="148"/>
      <c r="Z50" s="148">
        <v>4088</v>
      </c>
      <c r="AA50" s="149"/>
      <c r="AB50" s="149">
        <v>4080</v>
      </c>
      <c r="AC50" s="150"/>
      <c r="AD50" s="150">
        <v>5610</v>
      </c>
      <c r="AE50" s="151">
        <f t="shared" si="14"/>
        <v>320778</v>
      </c>
      <c r="AF50" s="152">
        <f t="shared" si="15"/>
        <v>474912</v>
      </c>
    </row>
    <row r="51" s="122" customFormat="1" ht="12" customHeight="1" outlineLevel="1" spans="1:51">
      <c r="A51" s="144" t="s">
        <v>118</v>
      </c>
      <c r="B51" s="165" t="s">
        <v>123</v>
      </c>
      <c r="C51" s="165" t="s">
        <v>124</v>
      </c>
      <c r="D51" s="169" t="s">
        <v>74</v>
      </c>
      <c r="E51" s="169" t="s">
        <v>39</v>
      </c>
      <c r="F51" s="147"/>
      <c r="G51" s="148">
        <v>202226</v>
      </c>
      <c r="H51" s="148">
        <v>191391</v>
      </c>
      <c r="I51" s="149">
        <v>118292</v>
      </c>
      <c r="J51" s="149">
        <v>151778</v>
      </c>
      <c r="K51" s="150">
        <v>187790</v>
      </c>
      <c r="L51" s="150">
        <v>206600</v>
      </c>
      <c r="M51" s="148">
        <v>48126</v>
      </c>
      <c r="N51" s="148">
        <v>153348</v>
      </c>
      <c r="O51" s="149"/>
      <c r="P51" s="149">
        <v>85383</v>
      </c>
      <c r="Q51" s="150"/>
      <c r="R51" s="150">
        <v>77411</v>
      </c>
      <c r="S51" s="148"/>
      <c r="T51" s="148">
        <v>22010</v>
      </c>
      <c r="U51" s="149"/>
      <c r="V51" s="149"/>
      <c r="W51" s="150"/>
      <c r="X51" s="150">
        <v>2007</v>
      </c>
      <c r="Y51" s="148"/>
      <c r="Z51" s="148"/>
      <c r="AA51" s="149"/>
      <c r="AB51" s="149"/>
      <c r="AC51" s="150"/>
      <c r="AD51" s="150"/>
      <c r="AE51" s="151">
        <f t="shared" si="14"/>
        <v>556434</v>
      </c>
      <c r="AF51" s="152">
        <f t="shared" si="15"/>
        <v>889928</v>
      </c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</row>
    <row r="52" s="122" customFormat="1" ht="12" customHeight="1" outlineLevel="1" spans="1:51">
      <c r="A52" s="144" t="s">
        <v>118</v>
      </c>
      <c r="B52" s="177" t="s">
        <v>125</v>
      </c>
      <c r="C52" s="177" t="s">
        <v>126</v>
      </c>
      <c r="D52" s="169" t="s">
        <v>74</v>
      </c>
      <c r="E52" s="169" t="s">
        <v>39</v>
      </c>
      <c r="F52" s="147">
        <v>0</v>
      </c>
      <c r="G52" s="148">
        <v>73734</v>
      </c>
      <c r="H52" s="148">
        <v>63261</v>
      </c>
      <c r="I52" s="149">
        <v>6565</v>
      </c>
      <c r="J52" s="149">
        <v>10054</v>
      </c>
      <c r="K52" s="150">
        <v>11990</v>
      </c>
      <c r="L52" s="150">
        <v>8632</v>
      </c>
      <c r="M52" s="148">
        <v>20000</v>
      </c>
      <c r="N52" s="148">
        <v>52030</v>
      </c>
      <c r="O52" s="149">
        <v>20000</v>
      </c>
      <c r="P52" s="149">
        <v>18116</v>
      </c>
      <c r="Q52" s="150">
        <v>20000</v>
      </c>
      <c r="R52" s="150">
        <v>38557</v>
      </c>
      <c r="S52" s="148">
        <v>20000</v>
      </c>
      <c r="T52" s="148">
        <v>16269</v>
      </c>
      <c r="U52" s="149">
        <v>20000</v>
      </c>
      <c r="V52" s="149">
        <v>37459</v>
      </c>
      <c r="W52" s="150">
        <v>7711</v>
      </c>
      <c r="X52" s="150">
        <v>35798</v>
      </c>
      <c r="Y52" s="148"/>
      <c r="Z52" s="148">
        <v>14655</v>
      </c>
      <c r="AA52" s="149"/>
      <c r="AB52" s="149">
        <v>19379</v>
      </c>
      <c r="AC52" s="150"/>
      <c r="AD52" s="150">
        <v>18233</v>
      </c>
      <c r="AE52" s="151">
        <f t="shared" si="14"/>
        <v>200000</v>
      </c>
      <c r="AF52" s="152">
        <f t="shared" ref="AF52" si="16">H52+J52+L52+N52+P52+R52+T52+V52+X52+Z52+AB52+AD52</f>
        <v>332443</v>
      </c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</row>
    <row r="53" ht="12" customHeight="1" outlineLevel="1" spans="1:51">
      <c r="A53" s="144" t="s">
        <v>118</v>
      </c>
      <c r="B53" s="177" t="s">
        <v>127</v>
      </c>
      <c r="C53" s="177" t="s">
        <v>128</v>
      </c>
      <c r="D53" s="169" t="s">
        <v>74</v>
      </c>
      <c r="E53" s="169" t="s">
        <v>39</v>
      </c>
      <c r="F53" s="147"/>
      <c r="G53" s="148">
        <v>45079</v>
      </c>
      <c r="H53" s="148">
        <v>33233</v>
      </c>
      <c r="I53" s="149">
        <v>35577</v>
      </c>
      <c r="J53" s="149">
        <v>22492</v>
      </c>
      <c r="K53" s="150">
        <v>109633</v>
      </c>
      <c r="L53" s="150">
        <v>47501</v>
      </c>
      <c r="M53" s="148">
        <v>80000</v>
      </c>
      <c r="N53" s="148">
        <v>34788</v>
      </c>
      <c r="O53" s="149">
        <v>80000</v>
      </c>
      <c r="P53" s="149">
        <v>42020</v>
      </c>
      <c r="Q53" s="150">
        <v>80000</v>
      </c>
      <c r="R53" s="150">
        <v>5078</v>
      </c>
      <c r="S53" s="148">
        <v>80000</v>
      </c>
      <c r="T53" s="148">
        <v>41346</v>
      </c>
      <c r="U53" s="149">
        <v>80000</v>
      </c>
      <c r="V53" s="149">
        <v>32509</v>
      </c>
      <c r="W53" s="150">
        <v>9711</v>
      </c>
      <c r="X53" s="150">
        <v>48127</v>
      </c>
      <c r="Y53" s="148"/>
      <c r="Z53" s="148">
        <v>3690</v>
      </c>
      <c r="AA53" s="149"/>
      <c r="AB53" s="149"/>
      <c r="AC53" s="150"/>
      <c r="AD53" s="150"/>
      <c r="AE53" s="151">
        <f t="shared" si="14"/>
        <v>600000</v>
      </c>
      <c r="AF53" s="152">
        <f t="shared" si="15"/>
        <v>310784</v>
      </c>
    </row>
    <row r="54" ht="12" customHeight="1" outlineLevel="1" spans="1:51">
      <c r="A54" s="144" t="s">
        <v>118</v>
      </c>
      <c r="B54" s="177" t="s">
        <v>129</v>
      </c>
      <c r="C54" s="177" t="s">
        <v>130</v>
      </c>
      <c r="D54" s="169" t="s">
        <v>74</v>
      </c>
      <c r="E54" s="169" t="s">
        <v>39</v>
      </c>
      <c r="F54" s="147"/>
      <c r="G54" s="148"/>
      <c r="H54" s="148"/>
      <c r="I54" s="149"/>
      <c r="J54" s="149"/>
      <c r="K54" s="150"/>
      <c r="L54" s="150"/>
      <c r="M54" s="148">
        <v>20000</v>
      </c>
      <c r="N54" s="148"/>
      <c r="O54" s="149">
        <v>350000</v>
      </c>
      <c r="P54" s="149">
        <v>146755</v>
      </c>
      <c r="Q54" s="150">
        <v>300000</v>
      </c>
      <c r="R54" s="150">
        <v>184119</v>
      </c>
      <c r="S54" s="148">
        <v>400000</v>
      </c>
      <c r="T54" s="148">
        <v>314049</v>
      </c>
      <c r="U54" s="149">
        <v>500000</v>
      </c>
      <c r="V54" s="149">
        <v>238419</v>
      </c>
      <c r="W54" s="150">
        <v>500000</v>
      </c>
      <c r="X54" s="150">
        <v>629337</v>
      </c>
      <c r="Y54" s="148">
        <v>500000</v>
      </c>
      <c r="Z54" s="148">
        <v>365957</v>
      </c>
      <c r="AA54" s="149">
        <v>400000</v>
      </c>
      <c r="AB54" s="149">
        <v>486517</v>
      </c>
      <c r="AC54" s="150">
        <v>400000</v>
      </c>
      <c r="AD54" s="150">
        <v>539084</v>
      </c>
      <c r="AE54" s="151">
        <f t="shared" si="14"/>
        <v>3370000</v>
      </c>
      <c r="AF54" s="152">
        <f t="shared" si="15"/>
        <v>2904237</v>
      </c>
    </row>
    <row r="55" s="122" customFormat="1" ht="12" customHeight="1" outlineLevel="1" spans="1:51">
      <c r="A55" s="144" t="s">
        <v>118</v>
      </c>
      <c r="B55" s="177" t="s">
        <v>131</v>
      </c>
      <c r="C55" s="177" t="s">
        <v>132</v>
      </c>
      <c r="D55" s="169" t="s">
        <v>74</v>
      </c>
      <c r="E55" s="169" t="s">
        <v>39</v>
      </c>
      <c r="F55" s="147"/>
      <c r="G55" s="148"/>
      <c r="H55" s="148"/>
      <c r="I55" s="149"/>
      <c r="J55" s="149"/>
      <c r="K55" s="150"/>
      <c r="L55" s="150"/>
      <c r="M55" s="148"/>
      <c r="N55" s="148"/>
      <c r="O55" s="149">
        <v>200000</v>
      </c>
      <c r="P55" s="149">
        <v>133371</v>
      </c>
      <c r="Q55" s="150">
        <v>150000</v>
      </c>
      <c r="R55" s="150">
        <v>145483</v>
      </c>
      <c r="S55" s="148">
        <v>250000</v>
      </c>
      <c r="T55" s="148">
        <v>88409</v>
      </c>
      <c r="U55" s="149">
        <v>350000</v>
      </c>
      <c r="V55" s="149">
        <v>97728</v>
      </c>
      <c r="W55" s="150">
        <v>350000</v>
      </c>
      <c r="X55" s="150">
        <v>151448</v>
      </c>
      <c r="Y55" s="148">
        <v>350000</v>
      </c>
      <c r="Z55" s="148">
        <v>151558</v>
      </c>
      <c r="AA55" s="149">
        <v>300000</v>
      </c>
      <c r="AB55" s="149">
        <v>130051</v>
      </c>
      <c r="AC55" s="150">
        <v>354050</v>
      </c>
      <c r="AD55" s="150">
        <v>76447</v>
      </c>
      <c r="AE55" s="151">
        <f t="shared" si="14"/>
        <v>2304050</v>
      </c>
      <c r="AF55" s="152">
        <f t="shared" si="15"/>
        <v>974495</v>
      </c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</row>
    <row r="56" s="122" customFormat="1" ht="12" customHeight="1" outlineLevel="1" spans="1:51">
      <c r="A56" s="144" t="s">
        <v>118</v>
      </c>
      <c r="B56" s="177" t="s">
        <v>133</v>
      </c>
      <c r="C56" s="177" t="s">
        <v>134</v>
      </c>
      <c r="D56" s="169" t="s">
        <v>74</v>
      </c>
      <c r="E56" s="169" t="s">
        <v>39</v>
      </c>
      <c r="F56" s="147">
        <v>0</v>
      </c>
      <c r="G56" s="148"/>
      <c r="H56" s="148"/>
      <c r="I56" s="149"/>
      <c r="J56" s="149"/>
      <c r="K56" s="150"/>
      <c r="L56" s="150"/>
      <c r="M56" s="148"/>
      <c r="N56" s="148"/>
      <c r="O56" s="149">
        <v>100000</v>
      </c>
      <c r="P56" s="149">
        <v>27145</v>
      </c>
      <c r="Q56" s="150">
        <v>100000</v>
      </c>
      <c r="R56" s="150">
        <v>51965</v>
      </c>
      <c r="S56" s="148">
        <v>100000</v>
      </c>
      <c r="T56" s="148">
        <v>105293</v>
      </c>
      <c r="U56" s="149">
        <v>100000</v>
      </c>
      <c r="V56" s="149">
        <v>163639</v>
      </c>
      <c r="W56" s="150">
        <v>100000</v>
      </c>
      <c r="X56" s="150">
        <v>83159</v>
      </c>
      <c r="Y56" s="148">
        <v>100000</v>
      </c>
      <c r="Z56" s="148">
        <v>81369</v>
      </c>
      <c r="AA56" s="149">
        <v>100000</v>
      </c>
      <c r="AB56" s="149">
        <v>88544</v>
      </c>
      <c r="AC56" s="150">
        <v>100000</v>
      </c>
      <c r="AD56" s="150">
        <v>176235</v>
      </c>
      <c r="AE56" s="151">
        <f t="shared" si="14"/>
        <v>800000</v>
      </c>
      <c r="AF56" s="152">
        <f t="shared" ref="AF56:AF57" si="17">H56+J56+L56+N56+P56+R56+T56+V56+X56+Z56+AB56+AD56</f>
        <v>777349</v>
      </c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</row>
    <row r="57" s="122" customFormat="1" ht="12" customHeight="1" outlineLevel="1" spans="1:51">
      <c r="A57" s="176" t="s">
        <v>118</v>
      </c>
      <c r="B57" s="184"/>
      <c r="C57" s="185"/>
      <c r="D57" s="179" t="s">
        <v>74</v>
      </c>
      <c r="E57" s="179" t="s">
        <v>39</v>
      </c>
      <c r="F57" s="147">
        <v>0</v>
      </c>
      <c r="G57" s="148"/>
      <c r="H57" s="148"/>
      <c r="I57" s="149"/>
      <c r="J57" s="149"/>
      <c r="K57" s="150"/>
      <c r="L57" s="150"/>
      <c r="M57" s="148"/>
      <c r="N57" s="148"/>
      <c r="O57" s="149"/>
      <c r="P57" s="149"/>
      <c r="Q57" s="150"/>
      <c r="R57" s="150"/>
      <c r="S57" s="148"/>
      <c r="T57" s="148"/>
      <c r="U57" s="149"/>
      <c r="V57" s="149"/>
      <c r="W57" s="150"/>
      <c r="X57" s="150"/>
      <c r="Y57" s="148"/>
      <c r="Z57" s="148"/>
      <c r="AA57" s="149"/>
      <c r="AB57" s="149"/>
      <c r="AC57" s="150"/>
      <c r="AD57" s="150"/>
      <c r="AE57" s="151">
        <f t="shared" si="14"/>
        <v>0</v>
      </c>
      <c r="AF57" s="152">
        <f t="shared" si="17"/>
        <v>0</v>
      </c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</row>
    <row r="58" s="121" customFormat="1" ht="21" customHeight="1" spans="1:51">
      <c r="A58" s="181" t="s">
        <v>135</v>
      </c>
      <c r="B58" s="182"/>
      <c r="C58" s="182"/>
      <c r="D58" s="182"/>
      <c r="E58" s="182"/>
      <c r="F58" s="183">
        <f>SUM(F49:F54)</f>
        <v>0</v>
      </c>
      <c r="G58" s="183">
        <f t="shared" ref="G58:AD58" si="18">SUM(G49:G57)</f>
        <v>411243</v>
      </c>
      <c r="H58" s="183">
        <f t="shared" si="18"/>
        <v>376437</v>
      </c>
      <c r="I58" s="183">
        <f t="shared" si="18"/>
        <v>233544</v>
      </c>
      <c r="J58" s="183">
        <f t="shared" si="18"/>
        <v>288076</v>
      </c>
      <c r="K58" s="183">
        <f t="shared" si="18"/>
        <v>422713</v>
      </c>
      <c r="L58" s="183">
        <f t="shared" si="18"/>
        <v>359089</v>
      </c>
      <c r="M58" s="183">
        <f t="shared" si="18"/>
        <v>219258</v>
      </c>
      <c r="N58" s="183">
        <f t="shared" si="18"/>
        <v>294752</v>
      </c>
      <c r="O58" s="183">
        <f t="shared" si="18"/>
        <v>750000</v>
      </c>
      <c r="P58" s="183">
        <f t="shared" si="18"/>
        <v>509025</v>
      </c>
      <c r="Q58" s="183">
        <f t="shared" si="18"/>
        <v>650000</v>
      </c>
      <c r="R58" s="183">
        <f t="shared" si="18"/>
        <v>541095</v>
      </c>
      <c r="S58" s="183">
        <f t="shared" si="18"/>
        <v>850000</v>
      </c>
      <c r="T58" s="183">
        <f t="shared" si="18"/>
        <v>608378</v>
      </c>
      <c r="U58" s="183">
        <f t="shared" si="18"/>
        <v>1050000</v>
      </c>
      <c r="V58" s="183">
        <f t="shared" si="18"/>
        <v>576035</v>
      </c>
      <c r="W58" s="183">
        <f t="shared" si="18"/>
        <v>967422</v>
      </c>
      <c r="X58" s="183">
        <f t="shared" si="18"/>
        <v>952732</v>
      </c>
      <c r="Y58" s="183">
        <f t="shared" si="18"/>
        <v>950000</v>
      </c>
      <c r="Z58" s="183">
        <f t="shared" si="18"/>
        <v>621317</v>
      </c>
      <c r="AA58" s="183">
        <f t="shared" si="18"/>
        <v>800000</v>
      </c>
      <c r="AB58" s="183">
        <f t="shared" si="18"/>
        <v>728571</v>
      </c>
      <c r="AC58" s="183">
        <f t="shared" si="18"/>
        <v>854050</v>
      </c>
      <c r="AD58" s="183">
        <f t="shared" si="18"/>
        <v>815609</v>
      </c>
      <c r="AE58" s="159">
        <f t="shared" si="14"/>
        <v>8158230</v>
      </c>
      <c r="AF58" s="159">
        <f t="shared" ref="AF58:AF62" si="19">H58+J58+L58+N58+P58+R58+T58+V58+X58+Z58+AB58+AD58</f>
        <v>6671116</v>
      </c>
    </row>
    <row r="59" ht="12" customHeight="1" outlineLevel="1" spans="1:51">
      <c r="A59" s="165" t="s">
        <v>136</v>
      </c>
      <c r="B59" s="186" t="s">
        <v>137</v>
      </c>
      <c r="C59" s="186" t="s">
        <v>138</v>
      </c>
      <c r="D59" s="179" t="s">
        <v>74</v>
      </c>
      <c r="E59" s="179" t="s">
        <v>139</v>
      </c>
      <c r="F59" s="147"/>
      <c r="G59" s="148">
        <v>67040</v>
      </c>
      <c r="H59" s="148">
        <v>67040</v>
      </c>
      <c r="I59" s="149">
        <v>70000</v>
      </c>
      <c r="J59" s="149">
        <v>75000</v>
      </c>
      <c r="K59" s="150">
        <v>70000</v>
      </c>
      <c r="L59" s="150">
        <v>52560</v>
      </c>
      <c r="M59" s="148">
        <v>50000</v>
      </c>
      <c r="N59" s="148">
        <v>54540</v>
      </c>
      <c r="O59" s="149">
        <v>0</v>
      </c>
      <c r="P59" s="149">
        <v>61960</v>
      </c>
      <c r="Q59" s="150"/>
      <c r="R59" s="150">
        <v>1940</v>
      </c>
      <c r="S59" s="148"/>
      <c r="T59" s="148"/>
      <c r="U59" s="149"/>
      <c r="V59" s="149"/>
      <c r="W59" s="150"/>
      <c r="X59" s="150"/>
      <c r="Y59" s="148"/>
      <c r="Z59" s="148"/>
      <c r="AA59" s="149"/>
      <c r="AB59" s="149"/>
      <c r="AC59" s="150"/>
      <c r="AD59" s="150"/>
      <c r="AE59" s="151">
        <f t="shared" si="14"/>
        <v>257040</v>
      </c>
      <c r="AF59" s="152">
        <f t="shared" si="19"/>
        <v>313040</v>
      </c>
    </row>
    <row r="60" ht="12" customHeight="1" outlineLevel="1" spans="1:51">
      <c r="A60" s="165" t="s">
        <v>136</v>
      </c>
      <c r="B60" s="186" t="s">
        <v>140</v>
      </c>
      <c r="C60" s="186" t="s">
        <v>141</v>
      </c>
      <c r="D60" s="179" t="s">
        <v>74</v>
      </c>
      <c r="E60" s="179" t="s">
        <v>139</v>
      </c>
      <c r="F60" s="147"/>
      <c r="G60" s="148"/>
      <c r="H60" s="148"/>
      <c r="I60" s="149"/>
      <c r="J60" s="149"/>
      <c r="K60" s="150"/>
      <c r="L60" s="150"/>
      <c r="M60" s="148"/>
      <c r="N60" s="148"/>
      <c r="O60" s="149">
        <v>50000</v>
      </c>
      <c r="P60" s="149">
        <v>10000</v>
      </c>
      <c r="Q60" s="150">
        <v>30000</v>
      </c>
      <c r="R60" s="150">
        <v>78840</v>
      </c>
      <c r="S60" s="148">
        <v>20000</v>
      </c>
      <c r="T60" s="148">
        <v>96660</v>
      </c>
      <c r="U60" s="149">
        <v>20000</v>
      </c>
      <c r="V60" s="149">
        <v>85520</v>
      </c>
      <c r="W60" s="150">
        <v>20000</v>
      </c>
      <c r="X60" s="150">
        <v>23980</v>
      </c>
      <c r="Y60" s="148">
        <v>20000</v>
      </c>
      <c r="Z60" s="148"/>
      <c r="AA60" s="149">
        <v>20000</v>
      </c>
      <c r="AB60" s="149"/>
      <c r="AC60" s="150">
        <v>20000</v>
      </c>
      <c r="AD60" s="150"/>
      <c r="AE60" s="151">
        <f t="shared" si="14"/>
        <v>200000</v>
      </c>
      <c r="AF60" s="152">
        <f t="shared" si="19"/>
        <v>295000</v>
      </c>
    </row>
    <row r="61" ht="12" customHeight="1" outlineLevel="1" spans="1:51">
      <c r="A61" s="176" t="s">
        <v>136</v>
      </c>
      <c r="B61" s="187" t="s">
        <v>142</v>
      </c>
      <c r="C61" s="185" t="s">
        <v>143</v>
      </c>
      <c r="D61" s="179" t="s">
        <v>74</v>
      </c>
      <c r="E61" s="179" t="s">
        <v>139</v>
      </c>
      <c r="F61" s="147"/>
      <c r="G61" s="148"/>
      <c r="H61" s="148"/>
      <c r="I61" s="149"/>
      <c r="J61" s="149"/>
      <c r="K61" s="150"/>
      <c r="L61" s="150"/>
      <c r="M61" s="148"/>
      <c r="N61" s="148"/>
      <c r="O61" s="149"/>
      <c r="P61" s="149"/>
      <c r="Q61" s="150"/>
      <c r="R61" s="150"/>
      <c r="S61" s="148"/>
      <c r="T61" s="148">
        <v>40850</v>
      </c>
      <c r="U61" s="149"/>
      <c r="V61" s="149">
        <v>147620</v>
      </c>
      <c r="W61" s="150"/>
      <c r="X61" s="150">
        <v>154400</v>
      </c>
      <c r="Y61" s="148"/>
      <c r="Z61" s="148">
        <v>54420</v>
      </c>
      <c r="AA61" s="149"/>
      <c r="AB61" s="149">
        <v>32710</v>
      </c>
      <c r="AC61" s="150"/>
      <c r="AD61" s="150"/>
      <c r="AE61" s="151">
        <f t="shared" si="14"/>
        <v>0</v>
      </c>
      <c r="AF61" s="152">
        <f t="shared" si="19"/>
        <v>430000</v>
      </c>
    </row>
    <row r="62" ht="12" customHeight="1" outlineLevel="1" spans="1:51">
      <c r="A62" s="165" t="s">
        <v>136</v>
      </c>
      <c r="B62" s="186" t="s">
        <v>144</v>
      </c>
      <c r="C62" s="186" t="s">
        <v>145</v>
      </c>
      <c r="D62" s="179" t="s">
        <v>74</v>
      </c>
      <c r="E62" s="179" t="s">
        <v>139</v>
      </c>
      <c r="F62" s="147"/>
      <c r="G62" s="148"/>
      <c r="H62" s="148"/>
      <c r="I62" s="149"/>
      <c r="J62" s="149"/>
      <c r="K62" s="150"/>
      <c r="L62" s="150"/>
      <c r="M62" s="148">
        <v>5000</v>
      </c>
      <c r="N62" s="148">
        <v>5172</v>
      </c>
      <c r="O62" s="149">
        <v>5000</v>
      </c>
      <c r="P62" s="149">
        <v>6934</v>
      </c>
      <c r="Q62" s="150">
        <v>20000</v>
      </c>
      <c r="R62" s="150">
        <v>24620</v>
      </c>
      <c r="S62" s="148">
        <v>20000</v>
      </c>
      <c r="T62" s="148">
        <v>37260</v>
      </c>
      <c r="U62" s="149">
        <v>25000</v>
      </c>
      <c r="V62" s="149">
        <v>69480</v>
      </c>
      <c r="W62" s="150">
        <v>25000</v>
      </c>
      <c r="X62" s="150">
        <v>108010</v>
      </c>
      <c r="Y62" s="148">
        <v>25000</v>
      </c>
      <c r="Z62" s="148">
        <v>60480</v>
      </c>
      <c r="AA62" s="149">
        <v>20465</v>
      </c>
      <c r="AB62" s="149">
        <v>54900</v>
      </c>
      <c r="AC62" s="150">
        <v>25000</v>
      </c>
      <c r="AD62" s="150">
        <v>37144</v>
      </c>
      <c r="AE62" s="151">
        <f t="shared" si="14"/>
        <v>170465</v>
      </c>
      <c r="AF62" s="152">
        <f t="shared" si="19"/>
        <v>404000</v>
      </c>
    </row>
    <row r="63" ht="12" customHeight="1" outlineLevel="1" spans="1:51">
      <c r="A63" s="165" t="s">
        <v>136</v>
      </c>
      <c r="B63" s="187" t="s">
        <v>146</v>
      </c>
      <c r="C63" s="186" t="s">
        <v>147</v>
      </c>
      <c r="D63" s="179" t="s">
        <v>74</v>
      </c>
      <c r="E63" s="179" t="s">
        <v>139</v>
      </c>
      <c r="F63" s="147"/>
      <c r="G63" s="148">
        <v>8640</v>
      </c>
      <c r="H63" s="148">
        <v>8640</v>
      </c>
      <c r="I63" s="149">
        <v>6000</v>
      </c>
      <c r="J63" s="149">
        <v>4860</v>
      </c>
      <c r="K63" s="150">
        <v>6000</v>
      </c>
      <c r="L63" s="150">
        <v>5250</v>
      </c>
      <c r="M63" s="148">
        <v>5000</v>
      </c>
      <c r="N63" s="148">
        <v>3240</v>
      </c>
      <c r="O63" s="149">
        <v>5000</v>
      </c>
      <c r="P63" s="149">
        <v>5940</v>
      </c>
      <c r="Q63" s="150">
        <v>5000</v>
      </c>
      <c r="R63" s="150">
        <v>720</v>
      </c>
      <c r="S63" s="148">
        <v>5000</v>
      </c>
      <c r="T63" s="148">
        <v>3780</v>
      </c>
      <c r="U63" s="149">
        <v>5000</v>
      </c>
      <c r="V63" s="149">
        <v>8460</v>
      </c>
      <c r="W63" s="150">
        <v>5000</v>
      </c>
      <c r="X63" s="150">
        <v>8460</v>
      </c>
      <c r="Y63" s="148">
        <v>5000</v>
      </c>
      <c r="Z63" s="148">
        <v>6840</v>
      </c>
      <c r="AA63" s="149">
        <v>5000</v>
      </c>
      <c r="AB63" s="149">
        <v>6984</v>
      </c>
      <c r="AC63" s="150">
        <v>5000</v>
      </c>
      <c r="AD63" s="150">
        <v>3060</v>
      </c>
      <c r="AE63" s="151">
        <f t="shared" ref="AE63:AE83" si="20">G63+I63+K63+M63+O63+Q63+S63+U63+W63+Y63+AA63+AC63</f>
        <v>65640</v>
      </c>
      <c r="AF63" s="152">
        <f t="shared" ref="AF63:AF83" si="21">H63+J63+L63+N63+P63+R63+T63+V63+X63+Z63+AB63+AD63</f>
        <v>66234</v>
      </c>
    </row>
    <row r="64" ht="12" customHeight="1" outlineLevel="1" spans="1:51">
      <c r="A64" s="176" t="s">
        <v>136</v>
      </c>
      <c r="B64" s="187"/>
      <c r="C64" s="185"/>
      <c r="D64" s="179" t="s">
        <v>74</v>
      </c>
      <c r="E64" s="179" t="s">
        <v>139</v>
      </c>
      <c r="F64" s="147"/>
      <c r="G64" s="148"/>
      <c r="H64" s="148"/>
      <c r="I64" s="149"/>
      <c r="J64" s="149"/>
      <c r="K64" s="150"/>
      <c r="L64" s="150"/>
      <c r="M64" s="148"/>
      <c r="N64" s="148"/>
      <c r="O64" s="149"/>
      <c r="P64" s="149"/>
      <c r="Q64" s="150"/>
      <c r="R64" s="150"/>
      <c r="S64" s="148"/>
      <c r="T64" s="148"/>
      <c r="U64" s="149"/>
      <c r="V64" s="149"/>
      <c r="W64" s="150"/>
      <c r="X64" s="150"/>
      <c r="Y64" s="148"/>
      <c r="Z64" s="148"/>
      <c r="AA64" s="149"/>
      <c r="AB64" s="149"/>
      <c r="AC64" s="150"/>
      <c r="AD64" s="150"/>
      <c r="AE64" s="151">
        <f t="shared" si="20"/>
        <v>0</v>
      </c>
      <c r="AF64" s="152">
        <f t="shared" si="21"/>
        <v>0</v>
      </c>
    </row>
    <row r="65" s="121" customFormat="1" ht="15.75" spans="1:32">
      <c r="A65" s="155" t="s">
        <v>148</v>
      </c>
      <c r="B65" s="155"/>
      <c r="C65" s="156"/>
      <c r="D65" s="157"/>
      <c r="E65" s="157"/>
      <c r="F65" s="170">
        <f t="shared" ref="F65:AC65" si="22">SUM(F59:F64)</f>
        <v>0</v>
      </c>
      <c r="G65" s="170">
        <f t="shared" si="22"/>
        <v>75680</v>
      </c>
      <c r="H65" s="170">
        <f t="shared" si="22"/>
        <v>75680</v>
      </c>
      <c r="I65" s="170">
        <f t="shared" si="22"/>
        <v>76000</v>
      </c>
      <c r="J65" s="170">
        <f t="shared" si="22"/>
        <v>79860</v>
      </c>
      <c r="K65" s="170">
        <f t="shared" si="22"/>
        <v>76000</v>
      </c>
      <c r="L65" s="170">
        <f t="shared" si="22"/>
        <v>57810</v>
      </c>
      <c r="M65" s="170">
        <f t="shared" si="22"/>
        <v>60000</v>
      </c>
      <c r="N65" s="170">
        <f t="shared" si="22"/>
        <v>62952</v>
      </c>
      <c r="O65" s="170">
        <f t="shared" si="22"/>
        <v>60000</v>
      </c>
      <c r="P65" s="170">
        <f t="shared" si="22"/>
        <v>84834</v>
      </c>
      <c r="Q65" s="170">
        <f t="shared" si="22"/>
        <v>55000</v>
      </c>
      <c r="R65" s="170">
        <f t="shared" si="22"/>
        <v>106120</v>
      </c>
      <c r="S65" s="170">
        <f t="shared" si="22"/>
        <v>45000</v>
      </c>
      <c r="T65" s="170">
        <f t="shared" si="22"/>
        <v>178550</v>
      </c>
      <c r="U65" s="170">
        <f t="shared" si="22"/>
        <v>50000</v>
      </c>
      <c r="V65" s="170">
        <f t="shared" si="22"/>
        <v>311080</v>
      </c>
      <c r="W65" s="170">
        <f t="shared" si="22"/>
        <v>50000</v>
      </c>
      <c r="X65" s="170">
        <f t="shared" si="22"/>
        <v>294850</v>
      </c>
      <c r="Y65" s="170">
        <f t="shared" si="22"/>
        <v>50000</v>
      </c>
      <c r="Z65" s="170">
        <f t="shared" si="22"/>
        <v>121740</v>
      </c>
      <c r="AA65" s="170">
        <f t="shared" si="22"/>
        <v>45465</v>
      </c>
      <c r="AB65" s="170">
        <f t="shared" si="22"/>
        <v>94594</v>
      </c>
      <c r="AC65" s="170">
        <f t="shared" si="22"/>
        <v>50000</v>
      </c>
      <c r="AD65" s="170"/>
      <c r="AE65" s="159">
        <f t="shared" si="20"/>
        <v>693145</v>
      </c>
      <c r="AF65" s="159">
        <f t="shared" si="21"/>
        <v>1468070</v>
      </c>
    </row>
    <row r="66" ht="12" customHeight="1" outlineLevel="1" spans="1:32">
      <c r="A66" s="162" t="s">
        <v>149</v>
      </c>
      <c r="B66" s="177" t="s">
        <v>150</v>
      </c>
      <c r="C66" s="167" t="s">
        <v>151</v>
      </c>
      <c r="D66" s="169" t="s">
        <v>74</v>
      </c>
      <c r="E66" s="169" t="s">
        <v>139</v>
      </c>
      <c r="F66" s="147"/>
      <c r="G66" s="148">
        <v>1520</v>
      </c>
      <c r="H66" s="148">
        <v>1520</v>
      </c>
      <c r="I66" s="149"/>
      <c r="J66" s="149"/>
      <c r="K66" s="150"/>
      <c r="L66" s="150"/>
      <c r="M66" s="148"/>
      <c r="N66" s="148"/>
      <c r="O66" s="149">
        <v>3000</v>
      </c>
      <c r="P66" s="149"/>
      <c r="Q66" s="150"/>
      <c r="R66" s="150"/>
      <c r="S66" s="148"/>
      <c r="T66" s="148"/>
      <c r="U66" s="149">
        <v>3000</v>
      </c>
      <c r="V66" s="149">
        <v>5000</v>
      </c>
      <c r="W66" s="150"/>
      <c r="X66" s="150"/>
      <c r="Y66" s="148"/>
      <c r="Z66" s="148"/>
      <c r="AA66" s="149">
        <v>3000</v>
      </c>
      <c r="AB66" s="149"/>
      <c r="AC66" s="150"/>
      <c r="AD66" s="150"/>
      <c r="AE66" s="151">
        <f t="shared" si="20"/>
        <v>10520</v>
      </c>
      <c r="AF66" s="152">
        <f t="shared" si="21"/>
        <v>6520</v>
      </c>
    </row>
    <row r="67" ht="12" customHeight="1" outlineLevel="1" spans="1:32">
      <c r="A67" s="162" t="s">
        <v>149</v>
      </c>
      <c r="B67" s="177" t="s">
        <v>152</v>
      </c>
      <c r="C67" s="188" t="s">
        <v>153</v>
      </c>
      <c r="D67" s="169" t="s">
        <v>74</v>
      </c>
      <c r="E67" s="169" t="s">
        <v>139</v>
      </c>
      <c r="F67" s="147"/>
      <c r="G67" s="148">
        <v>16072</v>
      </c>
      <c r="H67" s="148">
        <v>19980</v>
      </c>
      <c r="I67" s="149">
        <v>10000</v>
      </c>
      <c r="J67" s="149">
        <v>10000</v>
      </c>
      <c r="K67" s="150">
        <v>10000</v>
      </c>
      <c r="L67" s="150"/>
      <c r="M67" s="148">
        <v>10000</v>
      </c>
      <c r="N67" s="148"/>
      <c r="O67" s="149">
        <v>10000</v>
      </c>
      <c r="P67" s="149"/>
      <c r="Q67" s="150">
        <v>20000</v>
      </c>
      <c r="R67" s="150"/>
      <c r="S67" s="148">
        <v>20000</v>
      </c>
      <c r="T67" s="148"/>
      <c r="U67" s="149">
        <v>10000</v>
      </c>
      <c r="V67" s="149"/>
      <c r="W67" s="150">
        <v>10000</v>
      </c>
      <c r="X67" s="150"/>
      <c r="Y67" s="148">
        <v>10000</v>
      </c>
      <c r="Z67" s="148"/>
      <c r="AA67" s="149">
        <v>10000</v>
      </c>
      <c r="AB67" s="149"/>
      <c r="AC67" s="150">
        <v>10000</v>
      </c>
      <c r="AD67" s="150"/>
      <c r="AE67" s="151">
        <f t="shared" si="20"/>
        <v>146072</v>
      </c>
      <c r="AF67" s="152">
        <f t="shared" si="21"/>
        <v>29980</v>
      </c>
    </row>
    <row r="68" ht="12" customHeight="1" outlineLevel="1" spans="1:32">
      <c r="A68" s="144" t="s">
        <v>149</v>
      </c>
      <c r="B68" s="177" t="s">
        <v>154</v>
      </c>
      <c r="C68" s="189" t="s">
        <v>155</v>
      </c>
      <c r="D68" s="169" t="s">
        <v>74</v>
      </c>
      <c r="E68" s="169" t="s">
        <v>139</v>
      </c>
      <c r="F68" s="147"/>
      <c r="G68" s="148"/>
      <c r="H68" s="148"/>
      <c r="I68" s="149">
        <v>2000</v>
      </c>
      <c r="J68" s="149"/>
      <c r="K68" s="150"/>
      <c r="L68" s="150">
        <v>2000</v>
      </c>
      <c r="M68" s="148"/>
      <c r="N68" s="148"/>
      <c r="O68" s="149">
        <v>6000</v>
      </c>
      <c r="P68" s="149"/>
      <c r="Q68" s="150"/>
      <c r="R68" s="150"/>
      <c r="S68" s="148"/>
      <c r="T68" s="148"/>
      <c r="U68" s="149">
        <v>6000</v>
      </c>
      <c r="V68" s="149"/>
      <c r="W68" s="150"/>
      <c r="X68" s="150"/>
      <c r="Y68" s="148"/>
      <c r="Z68" s="148"/>
      <c r="AA68" s="149">
        <v>6000</v>
      </c>
      <c r="AB68" s="149"/>
      <c r="AC68" s="150"/>
      <c r="AD68" s="150"/>
      <c r="AE68" s="151">
        <f t="shared" si="20"/>
        <v>20000</v>
      </c>
      <c r="AF68" s="152">
        <f t="shared" si="21"/>
        <v>2000</v>
      </c>
    </row>
    <row r="69" ht="12" customHeight="1" outlineLevel="1" spans="1:32">
      <c r="A69" s="144" t="s">
        <v>149</v>
      </c>
      <c r="B69" s="177" t="s">
        <v>156</v>
      </c>
      <c r="C69" s="189"/>
      <c r="D69" s="169" t="s">
        <v>74</v>
      </c>
      <c r="E69" s="169" t="s">
        <v>139</v>
      </c>
      <c r="F69" s="147"/>
      <c r="G69" s="148"/>
      <c r="H69" s="148"/>
      <c r="I69" s="149"/>
      <c r="J69" s="149"/>
      <c r="K69" s="150"/>
      <c r="L69" s="150">
        <v>20000</v>
      </c>
      <c r="M69" s="148"/>
      <c r="N69" s="148"/>
      <c r="O69" s="149"/>
      <c r="P69" s="149"/>
      <c r="Q69" s="150"/>
      <c r="R69" s="150"/>
      <c r="S69" s="148"/>
      <c r="T69" s="148"/>
      <c r="U69" s="149"/>
      <c r="V69" s="149">
        <v>5760</v>
      </c>
      <c r="W69" s="150"/>
      <c r="X69" s="150"/>
      <c r="Y69" s="148"/>
      <c r="Z69" s="148"/>
      <c r="AA69" s="149">
        <v>0</v>
      </c>
      <c r="AB69" s="149"/>
      <c r="AC69" s="150"/>
      <c r="AD69" s="150"/>
      <c r="AE69" s="151">
        <f t="shared" si="20"/>
        <v>0</v>
      </c>
      <c r="AF69" s="152">
        <f t="shared" si="21"/>
        <v>25760</v>
      </c>
    </row>
    <row r="70" s="121" customFormat="1" ht="15.75" spans="1:32">
      <c r="A70" s="155" t="s">
        <v>157</v>
      </c>
      <c r="B70" s="155"/>
      <c r="C70" s="156"/>
      <c r="D70" s="157"/>
      <c r="E70" s="157"/>
      <c r="F70" s="170">
        <f>SUM(F66:F69)</f>
        <v>0</v>
      </c>
      <c r="G70" s="170">
        <f>SUM(G66:G69)</f>
        <v>17592</v>
      </c>
      <c r="H70" s="170">
        <f>SUM(H66:H69)</f>
        <v>21500</v>
      </c>
      <c r="I70" s="170">
        <f>SUM(I66:I69)</f>
        <v>12000</v>
      </c>
      <c r="J70" s="170">
        <f>SUM(J66:J69)</f>
        <v>10000</v>
      </c>
      <c r="K70" s="170">
        <f t="shared" ref="K70:AA70" si="23">SUM(K66:K69)</f>
        <v>10000</v>
      </c>
      <c r="L70" s="170">
        <f t="shared" si="23"/>
        <v>22000</v>
      </c>
      <c r="M70" s="170">
        <f t="shared" si="23"/>
        <v>10000</v>
      </c>
      <c r="N70" s="170">
        <f t="shared" si="23"/>
        <v>0</v>
      </c>
      <c r="O70" s="170">
        <f t="shared" si="23"/>
        <v>19000</v>
      </c>
      <c r="P70" s="170">
        <f t="shared" si="23"/>
        <v>0</v>
      </c>
      <c r="Q70" s="170">
        <f t="shared" si="23"/>
        <v>20000</v>
      </c>
      <c r="R70" s="170">
        <f t="shared" si="23"/>
        <v>0</v>
      </c>
      <c r="S70" s="170">
        <f t="shared" si="23"/>
        <v>20000</v>
      </c>
      <c r="T70" s="170">
        <f t="shared" si="23"/>
        <v>0</v>
      </c>
      <c r="U70" s="170">
        <f t="shared" si="23"/>
        <v>19000</v>
      </c>
      <c r="V70" s="170">
        <f t="shared" si="23"/>
        <v>10760</v>
      </c>
      <c r="W70" s="170">
        <f t="shared" si="23"/>
        <v>10000</v>
      </c>
      <c r="X70" s="170">
        <f t="shared" si="23"/>
        <v>0</v>
      </c>
      <c r="Y70" s="170">
        <f t="shared" si="23"/>
        <v>10000</v>
      </c>
      <c r="Z70" s="170">
        <f t="shared" si="23"/>
        <v>0</v>
      </c>
      <c r="AA70" s="170">
        <f t="shared" si="23"/>
        <v>19000</v>
      </c>
      <c r="AB70" s="170"/>
      <c r="AC70" s="170">
        <f>SUM(AC66:AC69)</f>
        <v>10000</v>
      </c>
      <c r="AD70" s="170"/>
      <c r="AE70" s="159">
        <f t="shared" si="20"/>
        <v>176592</v>
      </c>
      <c r="AF70" s="159">
        <f t="shared" si="21"/>
        <v>64260</v>
      </c>
    </row>
    <row r="71" ht="12" customHeight="1" outlineLevel="1" spans="1:32">
      <c r="A71" s="144" t="s">
        <v>158</v>
      </c>
      <c r="B71" s="144" t="s">
        <v>159</v>
      </c>
      <c r="C71" s="175" t="s">
        <v>116</v>
      </c>
      <c r="D71" s="146" t="s">
        <v>54</v>
      </c>
      <c r="E71" s="146" t="s">
        <v>39</v>
      </c>
      <c r="F71" s="147"/>
      <c r="G71" s="148"/>
      <c r="H71" s="148"/>
      <c r="I71" s="149"/>
      <c r="J71" s="149"/>
      <c r="K71" s="150">
        <v>10000</v>
      </c>
      <c r="L71" s="150"/>
      <c r="M71" s="148"/>
      <c r="N71" s="148">
        <v>10000</v>
      </c>
      <c r="O71" s="149">
        <v>10000</v>
      </c>
      <c r="P71" s="149"/>
      <c r="Q71" s="150"/>
      <c r="R71" s="150">
        <v>10000</v>
      </c>
      <c r="S71" s="148">
        <v>10000</v>
      </c>
      <c r="T71" s="148">
        <v>10000</v>
      </c>
      <c r="U71" s="149"/>
      <c r="V71" s="149"/>
      <c r="W71" s="150">
        <v>10000</v>
      </c>
      <c r="X71" s="150">
        <v>10000</v>
      </c>
      <c r="Y71" s="148"/>
      <c r="Z71" s="148"/>
      <c r="AA71" s="149"/>
      <c r="AB71" s="149"/>
      <c r="AC71" s="150"/>
      <c r="AD71" s="150"/>
      <c r="AE71" s="151">
        <f t="shared" si="20"/>
        <v>40000</v>
      </c>
      <c r="AF71" s="152">
        <f t="shared" si="21"/>
        <v>40000</v>
      </c>
    </row>
    <row r="72" ht="12" customHeight="1" outlineLevel="1" spans="1:32">
      <c r="A72" s="144" t="s">
        <v>158</v>
      </c>
      <c r="B72" s="144" t="s">
        <v>160</v>
      </c>
      <c r="C72" s="175" t="s">
        <v>116</v>
      </c>
      <c r="D72" s="146" t="s">
        <v>54</v>
      </c>
      <c r="E72" s="146" t="s">
        <v>39</v>
      </c>
      <c r="F72" s="147"/>
      <c r="G72" s="148"/>
      <c r="H72" s="148"/>
      <c r="I72" s="149"/>
      <c r="J72" s="149"/>
      <c r="K72" s="150"/>
      <c r="L72" s="150"/>
      <c r="M72" s="148"/>
      <c r="N72" s="148"/>
      <c r="O72" s="149"/>
      <c r="P72" s="149"/>
      <c r="Q72" s="150"/>
      <c r="R72" s="150"/>
      <c r="S72" s="148"/>
      <c r="T72" s="148">
        <v>10000</v>
      </c>
      <c r="U72" s="149">
        <v>10000</v>
      </c>
      <c r="V72" s="149">
        <v>10000</v>
      </c>
      <c r="W72" s="150"/>
      <c r="X72" s="150">
        <v>10000</v>
      </c>
      <c r="Y72" s="148">
        <v>10000</v>
      </c>
      <c r="Z72" s="148"/>
      <c r="AA72" s="149">
        <v>0</v>
      </c>
      <c r="AB72" s="149"/>
      <c r="AC72" s="150">
        <v>10000</v>
      </c>
      <c r="AD72" s="150"/>
      <c r="AE72" s="151">
        <f t="shared" si="20"/>
        <v>30000</v>
      </c>
      <c r="AF72" s="152">
        <f t="shared" si="21"/>
        <v>30000</v>
      </c>
    </row>
    <row r="73" ht="12" customHeight="1" outlineLevel="1" spans="1:32">
      <c r="A73" s="144" t="s">
        <v>161</v>
      </c>
      <c r="B73" s="144" t="s">
        <v>162</v>
      </c>
      <c r="C73" s="175" t="s">
        <v>163</v>
      </c>
      <c r="D73" s="146" t="s">
        <v>38</v>
      </c>
      <c r="E73" s="146" t="s">
        <v>39</v>
      </c>
      <c r="F73" s="147"/>
      <c r="G73" s="148"/>
      <c r="H73" s="148"/>
      <c r="I73" s="149"/>
      <c r="J73" s="149"/>
      <c r="K73" s="150"/>
      <c r="L73" s="150"/>
      <c r="M73" s="148"/>
      <c r="N73" s="148"/>
      <c r="O73" s="149"/>
      <c r="P73" s="149">
        <v>500</v>
      </c>
      <c r="Q73" s="150"/>
      <c r="R73" s="150">
        <v>69500</v>
      </c>
      <c r="S73" s="148"/>
      <c r="T73" s="148">
        <v>70000</v>
      </c>
      <c r="U73" s="149"/>
      <c r="V73" s="149">
        <v>75000</v>
      </c>
      <c r="W73" s="150"/>
      <c r="X73" s="150">
        <v>110000</v>
      </c>
      <c r="Y73" s="148">
        <v>0</v>
      </c>
      <c r="Z73" s="148">
        <v>70000</v>
      </c>
      <c r="AA73" s="149">
        <v>0</v>
      </c>
      <c r="AB73" s="149"/>
      <c r="AC73" s="150">
        <v>0</v>
      </c>
      <c r="AD73" s="150">
        <v>20000</v>
      </c>
      <c r="AE73" s="151">
        <f t="shared" si="20"/>
        <v>0</v>
      </c>
      <c r="AF73" s="152">
        <f t="shared" si="21"/>
        <v>415000</v>
      </c>
    </row>
    <row r="74" ht="12" customHeight="1" outlineLevel="1" spans="1:32">
      <c r="A74" s="144" t="s">
        <v>161</v>
      </c>
      <c r="B74" s="144" t="s">
        <v>164</v>
      </c>
      <c r="C74" s="175" t="s">
        <v>165</v>
      </c>
      <c r="D74" s="146" t="s">
        <v>38</v>
      </c>
      <c r="E74" s="146" t="s">
        <v>39</v>
      </c>
      <c r="F74" s="147"/>
      <c r="G74" s="148"/>
      <c r="H74" s="148"/>
      <c r="I74" s="149"/>
      <c r="J74" s="149"/>
      <c r="K74" s="150"/>
      <c r="L74" s="150"/>
      <c r="M74" s="148"/>
      <c r="N74" s="148"/>
      <c r="O74" s="149"/>
      <c r="P74" s="149"/>
      <c r="Q74" s="150"/>
      <c r="R74" s="150">
        <v>10500</v>
      </c>
      <c r="S74" s="148"/>
      <c r="T74" s="148">
        <v>109500</v>
      </c>
      <c r="U74" s="149"/>
      <c r="V74" s="149">
        <v>15000</v>
      </c>
      <c r="W74" s="150"/>
      <c r="X74" s="150">
        <v>150000</v>
      </c>
      <c r="Y74" s="148">
        <v>0</v>
      </c>
      <c r="Z74" s="148">
        <v>20000</v>
      </c>
      <c r="AA74" s="149">
        <v>0</v>
      </c>
      <c r="AB74" s="149"/>
      <c r="AC74" s="150">
        <v>0</v>
      </c>
      <c r="AD74" s="150"/>
      <c r="AE74" s="151">
        <f t="shared" si="20"/>
        <v>0</v>
      </c>
      <c r="AF74" s="152">
        <f t="shared" si="21"/>
        <v>305000</v>
      </c>
    </row>
    <row r="75" ht="12" customHeight="1" outlineLevel="1" spans="1:32">
      <c r="A75" s="144" t="s">
        <v>166</v>
      </c>
      <c r="B75" s="144" t="s">
        <v>167</v>
      </c>
      <c r="C75" s="175" t="s">
        <v>168</v>
      </c>
      <c r="D75" s="146" t="s">
        <v>54</v>
      </c>
      <c r="E75" s="146" t="s">
        <v>39</v>
      </c>
      <c r="F75" s="147"/>
      <c r="G75" s="148"/>
      <c r="H75" s="148"/>
      <c r="I75" s="149"/>
      <c r="J75" s="149"/>
      <c r="K75" s="150"/>
      <c r="L75" s="150"/>
      <c r="M75" s="148"/>
      <c r="N75" s="148"/>
      <c r="O75" s="149"/>
      <c r="P75" s="149">
        <v>10000</v>
      </c>
      <c r="Q75" s="150"/>
      <c r="R75" s="150"/>
      <c r="S75" s="148"/>
      <c r="T75" s="148"/>
      <c r="U75" s="149">
        <v>0</v>
      </c>
      <c r="V75" s="149"/>
      <c r="W75" s="150"/>
      <c r="X75" s="150">
        <v>10000</v>
      </c>
      <c r="Y75" s="148">
        <v>0</v>
      </c>
      <c r="Z75" s="148"/>
      <c r="AA75" s="149">
        <v>0</v>
      </c>
      <c r="AB75" s="149"/>
      <c r="AC75" s="150">
        <v>0</v>
      </c>
      <c r="AD75" s="150"/>
      <c r="AE75" s="151">
        <f t="shared" si="20"/>
        <v>0</v>
      </c>
      <c r="AF75" s="152">
        <f t="shared" si="21"/>
        <v>20000</v>
      </c>
    </row>
    <row r="76" ht="12" customHeight="1" outlineLevel="1" spans="1:32">
      <c r="A76" s="144" t="s">
        <v>166</v>
      </c>
      <c r="B76" s="144" t="s">
        <v>169</v>
      </c>
      <c r="C76" s="175" t="s">
        <v>170</v>
      </c>
      <c r="D76" s="146" t="s">
        <v>54</v>
      </c>
      <c r="E76" s="146" t="s">
        <v>39</v>
      </c>
      <c r="F76" s="147"/>
      <c r="G76" s="148"/>
      <c r="H76" s="148"/>
      <c r="I76" s="149"/>
      <c r="J76" s="149"/>
      <c r="K76" s="150"/>
      <c r="L76" s="150"/>
      <c r="M76" s="148"/>
      <c r="N76" s="148"/>
      <c r="O76" s="149"/>
      <c r="P76" s="149">
        <v>0</v>
      </c>
      <c r="Q76" s="150"/>
      <c r="R76" s="150"/>
      <c r="S76" s="148"/>
      <c r="T76" s="148">
        <v>10000</v>
      </c>
      <c r="U76" s="149">
        <v>0</v>
      </c>
      <c r="V76" s="149"/>
      <c r="W76" s="150"/>
      <c r="X76" s="150"/>
      <c r="Y76" s="148">
        <v>0</v>
      </c>
      <c r="Z76" s="148"/>
      <c r="AA76" s="149">
        <v>0</v>
      </c>
      <c r="AB76" s="149">
        <v>10000</v>
      </c>
      <c r="AC76" s="150">
        <v>0</v>
      </c>
      <c r="AD76" s="150">
        <v>30000</v>
      </c>
      <c r="AE76" s="151">
        <f t="shared" si="20"/>
        <v>0</v>
      </c>
      <c r="AF76" s="152">
        <f t="shared" si="21"/>
        <v>50000</v>
      </c>
    </row>
    <row r="77" ht="12" customHeight="1" outlineLevel="1" spans="1:32">
      <c r="A77" s="144" t="s">
        <v>171</v>
      </c>
      <c r="B77" s="144" t="s">
        <v>172</v>
      </c>
      <c r="C77" s="175" t="s">
        <v>173</v>
      </c>
      <c r="D77" s="146" t="s">
        <v>54</v>
      </c>
      <c r="E77" s="146" t="s">
        <v>39</v>
      </c>
      <c r="F77" s="147"/>
      <c r="G77" s="148"/>
      <c r="H77" s="148"/>
      <c r="I77" s="149"/>
      <c r="J77" s="149"/>
      <c r="K77" s="150"/>
      <c r="L77" s="150"/>
      <c r="M77" s="148"/>
      <c r="N77" s="148"/>
      <c r="O77" s="149"/>
      <c r="P77" s="149">
        <v>0</v>
      </c>
      <c r="Q77" s="150"/>
      <c r="R77" s="150"/>
      <c r="S77" s="148"/>
      <c r="T77" s="148"/>
      <c r="U77" s="149">
        <v>0</v>
      </c>
      <c r="V77" s="149"/>
      <c r="W77" s="150"/>
      <c r="X77" s="150">
        <v>10000</v>
      </c>
      <c r="Y77" s="148">
        <v>0</v>
      </c>
      <c r="Z77" s="148"/>
      <c r="AA77" s="149">
        <v>0</v>
      </c>
      <c r="AB77" s="149"/>
      <c r="AC77" s="150">
        <v>0</v>
      </c>
      <c r="AD77" s="150"/>
      <c r="AE77" s="151">
        <f t="shared" si="20"/>
        <v>0</v>
      </c>
      <c r="AF77" s="152">
        <f t="shared" si="21"/>
        <v>10000</v>
      </c>
    </row>
    <row r="78" ht="12" customHeight="1" outlineLevel="1" spans="1:32">
      <c r="A78" s="144" t="s">
        <v>174</v>
      </c>
      <c r="B78" s="144" t="s">
        <v>175</v>
      </c>
      <c r="C78" s="175" t="s">
        <v>176</v>
      </c>
      <c r="D78" s="146" t="s">
        <v>54</v>
      </c>
      <c r="E78" s="146" t="s">
        <v>39</v>
      </c>
      <c r="F78" s="147"/>
      <c r="G78" s="148"/>
      <c r="H78" s="148"/>
      <c r="I78" s="149"/>
      <c r="J78" s="149"/>
      <c r="K78" s="150"/>
      <c r="L78" s="150"/>
      <c r="M78" s="148"/>
      <c r="N78" s="148"/>
      <c r="O78" s="149"/>
      <c r="P78" s="149">
        <v>0</v>
      </c>
      <c r="Q78" s="150"/>
      <c r="R78" s="150"/>
      <c r="S78" s="148"/>
      <c r="T78" s="148"/>
      <c r="U78" s="149">
        <v>0</v>
      </c>
      <c r="V78" s="149"/>
      <c r="W78" s="150"/>
      <c r="X78" s="150">
        <v>0</v>
      </c>
      <c r="Y78" s="148">
        <v>0</v>
      </c>
      <c r="Z78" s="148"/>
      <c r="AA78" s="149">
        <v>0</v>
      </c>
      <c r="AB78" s="149"/>
      <c r="AC78" s="150">
        <v>0</v>
      </c>
      <c r="AD78" s="150">
        <v>5000</v>
      </c>
      <c r="AE78" s="151">
        <f t="shared" si="20"/>
        <v>0</v>
      </c>
      <c r="AF78" s="152">
        <f t="shared" si="21"/>
        <v>5000</v>
      </c>
    </row>
    <row r="79" ht="12" customHeight="1" outlineLevel="1" spans="1:32">
      <c r="A79" s="144" t="s">
        <v>177</v>
      </c>
      <c r="B79" s="144" t="s">
        <v>178</v>
      </c>
      <c r="C79" s="175" t="s">
        <v>176</v>
      </c>
      <c r="D79" s="146" t="s">
        <v>54</v>
      </c>
      <c r="E79" s="146" t="s">
        <v>39</v>
      </c>
      <c r="F79" s="147"/>
      <c r="G79" s="148"/>
      <c r="H79" s="148"/>
      <c r="I79" s="149"/>
      <c r="J79" s="149"/>
      <c r="K79" s="150"/>
      <c r="L79" s="150"/>
      <c r="M79" s="148"/>
      <c r="N79" s="148"/>
      <c r="O79" s="149"/>
      <c r="P79" s="149">
        <v>0</v>
      </c>
      <c r="Q79" s="150"/>
      <c r="R79" s="150"/>
      <c r="S79" s="148"/>
      <c r="T79" s="148"/>
      <c r="U79" s="149">
        <v>0</v>
      </c>
      <c r="V79" s="149"/>
      <c r="W79" s="150"/>
      <c r="X79" s="150">
        <v>10000</v>
      </c>
      <c r="Y79" s="148">
        <v>0</v>
      </c>
      <c r="Z79" s="148"/>
      <c r="AA79" s="149">
        <v>0</v>
      </c>
      <c r="AB79" s="149"/>
      <c r="AC79" s="150">
        <v>0</v>
      </c>
      <c r="AD79" s="150"/>
      <c r="AE79" s="151">
        <f t="shared" si="20"/>
        <v>0</v>
      </c>
      <c r="AF79" s="152">
        <f t="shared" si="21"/>
        <v>10000</v>
      </c>
    </row>
    <row r="80" ht="12" customHeight="1" outlineLevel="1" spans="1:32">
      <c r="A80" s="144" t="s">
        <v>177</v>
      </c>
      <c r="B80" s="144" t="s">
        <v>179</v>
      </c>
      <c r="C80" s="175" t="s">
        <v>176</v>
      </c>
      <c r="D80" s="146" t="s">
        <v>54</v>
      </c>
      <c r="E80" s="146" t="s">
        <v>39</v>
      </c>
      <c r="F80" s="147"/>
      <c r="G80" s="148"/>
      <c r="H80" s="148"/>
      <c r="I80" s="149"/>
      <c r="J80" s="149"/>
      <c r="K80" s="150"/>
      <c r="L80" s="150"/>
      <c r="M80" s="148"/>
      <c r="N80" s="148"/>
      <c r="O80" s="149"/>
      <c r="P80" s="149">
        <v>0</v>
      </c>
      <c r="Q80" s="150"/>
      <c r="R80" s="150"/>
      <c r="S80" s="148"/>
      <c r="T80" s="148"/>
      <c r="U80" s="149">
        <v>0</v>
      </c>
      <c r="V80" s="149"/>
      <c r="W80" s="150"/>
      <c r="X80" s="150">
        <v>10000</v>
      </c>
      <c r="Y80" s="148">
        <v>0</v>
      </c>
      <c r="Z80" s="148"/>
      <c r="AA80" s="149">
        <v>0</v>
      </c>
      <c r="AB80" s="149"/>
      <c r="AC80" s="150">
        <v>0</v>
      </c>
      <c r="AD80" s="150"/>
      <c r="AE80" s="151">
        <f t="shared" si="20"/>
        <v>0</v>
      </c>
      <c r="AF80" s="152">
        <f t="shared" si="21"/>
        <v>10000</v>
      </c>
    </row>
    <row r="81" ht="12" customHeight="1" outlineLevel="1" spans="1:32">
      <c r="A81" s="144" t="s">
        <v>180</v>
      </c>
      <c r="B81" s="144" t="s">
        <v>181</v>
      </c>
      <c r="C81" s="175" t="s">
        <v>176</v>
      </c>
      <c r="D81" s="146" t="s">
        <v>74</v>
      </c>
      <c r="E81" s="146" t="s">
        <v>39</v>
      </c>
      <c r="F81" s="147"/>
      <c r="G81" s="148"/>
      <c r="H81" s="148"/>
      <c r="I81" s="149"/>
      <c r="J81" s="149"/>
      <c r="K81" s="150"/>
      <c r="L81" s="150"/>
      <c r="M81" s="148"/>
      <c r="N81" s="148"/>
      <c r="O81" s="149"/>
      <c r="P81" s="149">
        <v>0</v>
      </c>
      <c r="Q81" s="150"/>
      <c r="R81" s="150"/>
      <c r="S81" s="148"/>
      <c r="T81" s="148"/>
      <c r="U81" s="149">
        <v>0</v>
      </c>
      <c r="V81" s="149"/>
      <c r="W81" s="150"/>
      <c r="X81" s="150">
        <v>0</v>
      </c>
      <c r="Y81" s="148">
        <v>0</v>
      </c>
      <c r="Z81" s="148"/>
      <c r="AA81" s="149">
        <v>0</v>
      </c>
      <c r="AB81" s="149">
        <v>19993</v>
      </c>
      <c r="AC81" s="150">
        <v>0</v>
      </c>
      <c r="AD81" s="150"/>
      <c r="AE81" s="151">
        <f t="shared" si="20"/>
        <v>0</v>
      </c>
      <c r="AF81" s="152">
        <f t="shared" si="21"/>
        <v>19993</v>
      </c>
    </row>
    <row r="82" ht="12" customHeight="1" outlineLevel="1" spans="1:32">
      <c r="A82" s="144" t="s">
        <v>182</v>
      </c>
      <c r="B82" s="144" t="s">
        <v>183</v>
      </c>
      <c r="C82" s="175"/>
      <c r="D82" s="146" t="s">
        <v>74</v>
      </c>
      <c r="E82" s="146" t="s">
        <v>61</v>
      </c>
      <c r="F82" s="147"/>
      <c r="G82" s="148"/>
      <c r="H82" s="148">
        <v>5000</v>
      </c>
      <c r="I82" s="149">
        <v>5000</v>
      </c>
      <c r="J82" s="149">
        <v>5000</v>
      </c>
      <c r="K82" s="150">
        <v>5000</v>
      </c>
      <c r="L82" s="150"/>
      <c r="M82" s="148"/>
      <c r="N82" s="148"/>
      <c r="O82" s="149"/>
      <c r="P82" s="149"/>
      <c r="Q82" s="150"/>
      <c r="R82" s="150"/>
      <c r="S82" s="148"/>
      <c r="T82" s="148"/>
      <c r="U82" s="149"/>
      <c r="V82" s="149"/>
      <c r="W82" s="150"/>
      <c r="X82" s="150"/>
      <c r="Y82" s="148"/>
      <c r="Z82" s="148"/>
      <c r="AA82" s="149"/>
      <c r="AB82" s="149">
        <v>10000</v>
      </c>
      <c r="AC82" s="150"/>
      <c r="AD82" s="150"/>
      <c r="AE82" s="151">
        <f t="shared" si="20"/>
        <v>10000</v>
      </c>
      <c r="AF82" s="152">
        <f t="shared" si="21"/>
        <v>20000</v>
      </c>
    </row>
    <row r="83" ht="12" customHeight="1" outlineLevel="1" spans="1:32">
      <c r="A83" s="144" t="s">
        <v>184</v>
      </c>
      <c r="B83" s="144" t="s">
        <v>185</v>
      </c>
      <c r="C83" s="175"/>
      <c r="D83" s="146" t="s">
        <v>74</v>
      </c>
      <c r="E83" s="146" t="s">
        <v>61</v>
      </c>
      <c r="F83" s="147"/>
      <c r="G83" s="148"/>
      <c r="H83" s="148">
        <v>0</v>
      </c>
      <c r="I83" s="149">
        <v>0</v>
      </c>
      <c r="J83" s="149">
        <v>0</v>
      </c>
      <c r="K83" s="150">
        <v>0</v>
      </c>
      <c r="L83" s="150"/>
      <c r="M83" s="148"/>
      <c r="N83" s="148"/>
      <c r="O83" s="149"/>
      <c r="P83" s="149"/>
      <c r="Q83" s="150"/>
      <c r="R83" s="150"/>
      <c r="S83" s="148"/>
      <c r="T83" s="148"/>
      <c r="U83" s="149"/>
      <c r="V83" s="149"/>
      <c r="W83" s="150"/>
      <c r="X83" s="150"/>
      <c r="Y83" s="148"/>
      <c r="Z83" s="148">
        <v>0</v>
      </c>
      <c r="AA83" s="149"/>
      <c r="AB83" s="149">
        <v>10000</v>
      </c>
      <c r="AC83" s="150"/>
      <c r="AD83" s="150"/>
      <c r="AE83" s="151">
        <f t="shared" si="20"/>
        <v>0</v>
      </c>
      <c r="AF83" s="152">
        <f t="shared" si="21"/>
        <v>10000</v>
      </c>
    </row>
    <row r="84" outlineLevel="1" spans="1:32">
      <c r="A84" s="144" t="s">
        <v>186</v>
      </c>
      <c r="B84" s="144" t="s">
        <v>187</v>
      </c>
      <c r="C84" s="175" t="s">
        <v>116</v>
      </c>
      <c r="D84" s="146" t="s">
        <v>74</v>
      </c>
      <c r="E84" s="146" t="s">
        <v>39</v>
      </c>
      <c r="F84" s="147" t="e">
        <f>#REF!+#REF!+#REF!+#REF!+#REF!</f>
        <v>#REF!</v>
      </c>
      <c r="G84" s="148"/>
      <c r="H84" s="148"/>
      <c r="I84" s="149">
        <v>2400</v>
      </c>
      <c r="J84" s="149"/>
      <c r="K84" s="150"/>
      <c r="L84" s="150"/>
      <c r="M84" s="148">
        <v>4200</v>
      </c>
      <c r="N84" s="148">
        <v>1530</v>
      </c>
      <c r="O84" s="149">
        <v>4500</v>
      </c>
      <c r="P84" s="149"/>
      <c r="Q84" s="150"/>
      <c r="R84" s="150"/>
      <c r="S84" s="148"/>
      <c r="T84" s="148"/>
      <c r="U84" s="149"/>
      <c r="V84" s="149"/>
      <c r="W84" s="150"/>
      <c r="X84" s="150"/>
      <c r="Y84" s="148"/>
      <c r="Z84" s="148"/>
      <c r="AA84" s="149"/>
      <c r="AB84" s="149"/>
      <c r="AC84" s="150"/>
      <c r="AD84" s="150"/>
      <c r="AE84" s="151">
        <f t="shared" ref="AE84:AE99" si="24">G84+I84+K84+M84+O84+Q84+S84+U84+W84+Y84+AA84+AC84</f>
        <v>11100</v>
      </c>
      <c r="AF84" s="152">
        <f t="shared" ref="AF84:AF99" si="25">H84+J84+L84+N84+P84+R84+T84+V84+X84+Z84+AB84+AD84</f>
        <v>1530</v>
      </c>
    </row>
    <row r="85" outlineLevel="1" spans="1:32">
      <c r="A85" s="144" t="s">
        <v>186</v>
      </c>
      <c r="B85" s="144" t="s">
        <v>187</v>
      </c>
      <c r="C85" s="175" t="s">
        <v>116</v>
      </c>
      <c r="D85" s="146" t="s">
        <v>74</v>
      </c>
      <c r="E85" s="146" t="s">
        <v>39</v>
      </c>
      <c r="F85" s="147"/>
      <c r="G85" s="148"/>
      <c r="H85" s="148"/>
      <c r="I85" s="149">
        <v>5600</v>
      </c>
      <c r="J85" s="149"/>
      <c r="K85" s="150"/>
      <c r="L85" s="150"/>
      <c r="M85" s="148">
        <v>9800</v>
      </c>
      <c r="N85" s="148">
        <v>2600</v>
      </c>
      <c r="O85" s="149">
        <v>10500</v>
      </c>
      <c r="P85" s="149"/>
      <c r="Q85" s="150"/>
      <c r="R85" s="150"/>
      <c r="S85" s="148"/>
      <c r="T85" s="148"/>
      <c r="U85" s="149"/>
      <c r="V85" s="149"/>
      <c r="W85" s="150"/>
      <c r="X85" s="150"/>
      <c r="Y85" s="148"/>
      <c r="Z85" s="148"/>
      <c r="AA85" s="149"/>
      <c r="AB85" s="149"/>
      <c r="AC85" s="150"/>
      <c r="AD85" s="150"/>
      <c r="AE85" s="151">
        <f t="shared" si="24"/>
        <v>25900</v>
      </c>
      <c r="AF85" s="152">
        <f t="shared" si="25"/>
        <v>2600</v>
      </c>
    </row>
    <row r="86" ht="12" customHeight="1" outlineLevel="1" spans="1:32">
      <c r="A86" s="144" t="s">
        <v>186</v>
      </c>
      <c r="B86" s="144" t="s">
        <v>187</v>
      </c>
      <c r="C86" s="175" t="s">
        <v>116</v>
      </c>
      <c r="D86" s="146" t="s">
        <v>54</v>
      </c>
      <c r="E86" s="146" t="s">
        <v>39</v>
      </c>
      <c r="F86" s="147"/>
      <c r="G86" s="148"/>
      <c r="H86" s="148"/>
      <c r="I86" s="149"/>
      <c r="J86" s="149"/>
      <c r="K86" s="150"/>
      <c r="L86" s="150"/>
      <c r="M86" s="148"/>
      <c r="N86" s="148"/>
      <c r="O86" s="149"/>
      <c r="P86" s="149"/>
      <c r="Q86" s="150">
        <v>6000</v>
      </c>
      <c r="R86" s="150"/>
      <c r="S86" s="148">
        <v>6000</v>
      </c>
      <c r="T86" s="148"/>
      <c r="U86" s="149">
        <v>6000</v>
      </c>
      <c r="V86" s="149"/>
      <c r="W86" s="150">
        <v>6000</v>
      </c>
      <c r="X86" s="150"/>
      <c r="Y86" s="148">
        <v>6000</v>
      </c>
      <c r="Z86" s="148"/>
      <c r="AA86" s="149">
        <v>6000</v>
      </c>
      <c r="AB86" s="149"/>
      <c r="AC86" s="150">
        <v>6000</v>
      </c>
      <c r="AD86" s="150"/>
      <c r="AE86" s="151">
        <f t="shared" si="24"/>
        <v>42000</v>
      </c>
      <c r="AF86" s="152">
        <f t="shared" si="25"/>
        <v>0</v>
      </c>
    </row>
    <row r="87" outlineLevel="1" spans="1:32">
      <c r="A87" s="144" t="s">
        <v>186</v>
      </c>
      <c r="B87" s="144" t="s">
        <v>187</v>
      </c>
      <c r="C87" s="175" t="s">
        <v>116</v>
      </c>
      <c r="D87" s="146" t="s">
        <v>54</v>
      </c>
      <c r="E87" s="146" t="s">
        <v>39</v>
      </c>
      <c r="F87" s="147" t="e">
        <f>#REF!+#REF!+#REF!+#REF!+#REF!</f>
        <v>#REF!</v>
      </c>
      <c r="G87" s="148"/>
      <c r="H87" s="148"/>
      <c r="I87" s="149"/>
      <c r="J87" s="149"/>
      <c r="K87" s="150"/>
      <c r="L87" s="150"/>
      <c r="M87" s="148"/>
      <c r="N87" s="148"/>
      <c r="O87" s="149"/>
      <c r="P87" s="149"/>
      <c r="Q87" s="150">
        <v>14000</v>
      </c>
      <c r="R87" s="150"/>
      <c r="S87" s="148">
        <v>14000</v>
      </c>
      <c r="T87" s="148"/>
      <c r="U87" s="149">
        <v>14000</v>
      </c>
      <c r="V87" s="149"/>
      <c r="W87" s="150">
        <v>14000</v>
      </c>
      <c r="X87" s="150"/>
      <c r="Y87" s="148">
        <v>14000</v>
      </c>
      <c r="Z87" s="148"/>
      <c r="AA87" s="149">
        <v>14000</v>
      </c>
      <c r="AB87" s="149"/>
      <c r="AC87" s="150">
        <v>14000</v>
      </c>
      <c r="AD87" s="150"/>
      <c r="AE87" s="151">
        <f t="shared" si="24"/>
        <v>98000</v>
      </c>
      <c r="AF87" s="152">
        <f t="shared" si="25"/>
        <v>0</v>
      </c>
    </row>
    <row r="88" outlineLevel="1" spans="1:32">
      <c r="A88" s="144" t="s">
        <v>186</v>
      </c>
      <c r="B88" s="190" t="s">
        <v>188</v>
      </c>
      <c r="C88" s="175" t="s">
        <v>116</v>
      </c>
      <c r="D88" s="146" t="s">
        <v>74</v>
      </c>
      <c r="E88" s="146" t="s">
        <v>39</v>
      </c>
      <c r="F88" s="147"/>
      <c r="G88" s="148"/>
      <c r="H88" s="148"/>
      <c r="I88" s="149"/>
      <c r="J88" s="149"/>
      <c r="K88" s="150"/>
      <c r="L88" s="150"/>
      <c r="M88" s="148"/>
      <c r="N88" s="148"/>
      <c r="O88" s="149"/>
      <c r="P88" s="149"/>
      <c r="Q88" s="150"/>
      <c r="R88" s="150"/>
      <c r="S88" s="148">
        <v>10000</v>
      </c>
      <c r="T88" s="148"/>
      <c r="U88" s="149">
        <v>10000</v>
      </c>
      <c r="V88" s="149"/>
      <c r="W88" s="150">
        <v>15000</v>
      </c>
      <c r="X88" s="150"/>
      <c r="Y88" s="148">
        <v>15000</v>
      </c>
      <c r="Z88" s="148"/>
      <c r="AA88" s="149">
        <v>15000</v>
      </c>
      <c r="AB88" s="149"/>
      <c r="AC88" s="150">
        <v>15000</v>
      </c>
      <c r="AD88" s="150"/>
      <c r="AE88" s="151">
        <f t="shared" si="24"/>
        <v>80000</v>
      </c>
      <c r="AF88" s="152">
        <f t="shared" si="25"/>
        <v>0</v>
      </c>
    </row>
    <row r="89" outlineLevel="1" spans="1:32">
      <c r="A89" s="190" t="s">
        <v>189</v>
      </c>
      <c r="B89" s="190" t="s">
        <v>190</v>
      </c>
      <c r="C89" s="175" t="s">
        <v>116</v>
      </c>
      <c r="D89" s="146" t="s">
        <v>74</v>
      </c>
      <c r="E89" s="146" t="s">
        <v>39</v>
      </c>
      <c r="F89" s="147"/>
      <c r="G89" s="148"/>
      <c r="H89" s="148"/>
      <c r="I89" s="149"/>
      <c r="J89" s="149"/>
      <c r="K89" s="150"/>
      <c r="L89" s="150"/>
      <c r="M89" s="148"/>
      <c r="N89" s="148"/>
      <c r="O89" s="149"/>
      <c r="P89" s="149"/>
      <c r="Q89" s="150"/>
      <c r="R89" s="150"/>
      <c r="S89" s="148">
        <v>15000</v>
      </c>
      <c r="T89" s="148"/>
      <c r="U89" s="149">
        <v>15000</v>
      </c>
      <c r="V89" s="149"/>
      <c r="W89" s="150">
        <v>15000</v>
      </c>
      <c r="X89" s="150"/>
      <c r="Y89" s="148">
        <v>20000</v>
      </c>
      <c r="Z89" s="148"/>
      <c r="AA89" s="149">
        <v>20000</v>
      </c>
      <c r="AB89" s="149"/>
      <c r="AC89" s="150">
        <v>18700</v>
      </c>
      <c r="AD89" s="150"/>
      <c r="AE89" s="151">
        <f t="shared" si="24"/>
        <v>103700</v>
      </c>
      <c r="AF89" s="152">
        <f t="shared" si="25"/>
        <v>0</v>
      </c>
    </row>
    <row r="90" outlineLevel="1" spans="1:32">
      <c r="A90" s="190" t="s">
        <v>191</v>
      </c>
      <c r="B90" s="190" t="s">
        <v>192</v>
      </c>
      <c r="C90" s="175" t="s">
        <v>116</v>
      </c>
      <c r="D90" s="146" t="s">
        <v>74</v>
      </c>
      <c r="E90" s="146" t="s">
        <v>139</v>
      </c>
      <c r="F90" s="147"/>
      <c r="G90" s="148"/>
      <c r="H90" s="148"/>
      <c r="I90" s="149"/>
      <c r="J90" s="149"/>
      <c r="K90" s="150"/>
      <c r="L90" s="150"/>
      <c r="M90" s="148"/>
      <c r="N90" s="148"/>
      <c r="O90" s="149"/>
      <c r="P90" s="149"/>
      <c r="Q90" s="150"/>
      <c r="R90" s="150"/>
      <c r="S90" s="148"/>
      <c r="T90" s="148"/>
      <c r="U90" s="149"/>
      <c r="V90" s="149"/>
      <c r="W90" s="150"/>
      <c r="X90" s="150"/>
      <c r="Y90" s="148"/>
      <c r="Z90" s="148"/>
      <c r="AA90" s="149">
        <v>12500</v>
      </c>
      <c r="AB90" s="149"/>
      <c r="AC90" s="150"/>
      <c r="AD90" s="150"/>
      <c r="AE90" s="151">
        <f t="shared" si="24"/>
        <v>12500</v>
      </c>
      <c r="AF90" s="152">
        <f t="shared" si="25"/>
        <v>0</v>
      </c>
    </row>
    <row r="91" outlineLevel="1" spans="1:32">
      <c r="A91" s="190" t="s">
        <v>191</v>
      </c>
      <c r="B91" s="190" t="s">
        <v>193</v>
      </c>
      <c r="C91" s="175" t="s">
        <v>116</v>
      </c>
      <c r="D91" s="146" t="s">
        <v>74</v>
      </c>
      <c r="E91" s="146" t="s">
        <v>194</v>
      </c>
      <c r="F91" s="147"/>
      <c r="G91" s="148"/>
      <c r="H91" s="148"/>
      <c r="I91" s="149"/>
      <c r="J91" s="149"/>
      <c r="K91" s="150"/>
      <c r="L91" s="150"/>
      <c r="M91" s="148"/>
      <c r="N91" s="148"/>
      <c r="O91" s="149"/>
      <c r="P91" s="149"/>
      <c r="Q91" s="150"/>
      <c r="R91" s="150"/>
      <c r="S91" s="148"/>
      <c r="T91" s="148"/>
      <c r="U91" s="149"/>
      <c r="V91" s="149"/>
      <c r="W91" s="150"/>
      <c r="X91" s="150"/>
      <c r="Y91" s="148"/>
      <c r="Z91" s="148"/>
      <c r="AA91" s="149">
        <v>12500</v>
      </c>
      <c r="AB91" s="149"/>
      <c r="AC91" s="150"/>
      <c r="AD91" s="150"/>
      <c r="AE91" s="151">
        <f t="shared" si="24"/>
        <v>12500</v>
      </c>
      <c r="AF91" s="152">
        <f t="shared" si="25"/>
        <v>0</v>
      </c>
    </row>
    <row r="92" outlineLevel="1" spans="1:32">
      <c r="A92" s="144" t="s">
        <v>195</v>
      </c>
      <c r="B92" s="144" t="s">
        <v>196</v>
      </c>
      <c r="C92" s="175" t="s">
        <v>197</v>
      </c>
      <c r="D92" s="146" t="s">
        <v>74</v>
      </c>
      <c r="E92" s="146" t="s">
        <v>39</v>
      </c>
      <c r="F92" s="147"/>
      <c r="G92" s="148">
        <v>10000</v>
      </c>
      <c r="H92" s="148">
        <v>10200</v>
      </c>
      <c r="I92" s="149"/>
      <c r="J92" s="149"/>
      <c r="K92" s="150"/>
      <c r="L92" s="150"/>
      <c r="M92" s="148">
        <v>10000</v>
      </c>
      <c r="N92" s="148">
        <v>1800</v>
      </c>
      <c r="O92" s="149"/>
      <c r="P92" s="149">
        <v>8400</v>
      </c>
      <c r="Q92" s="150">
        <v>10000</v>
      </c>
      <c r="R92" s="150"/>
      <c r="S92" s="148">
        <v>0</v>
      </c>
      <c r="T92" s="148"/>
      <c r="U92" s="149">
        <v>10000</v>
      </c>
      <c r="V92" s="149"/>
      <c r="W92" s="150"/>
      <c r="X92" s="150">
        <v>10200</v>
      </c>
      <c r="Y92" s="148"/>
      <c r="Z92" s="148"/>
      <c r="AA92" s="149"/>
      <c r="AB92" s="149"/>
      <c r="AC92" s="150"/>
      <c r="AD92" s="150"/>
      <c r="AE92" s="151">
        <f t="shared" si="24"/>
        <v>40000</v>
      </c>
      <c r="AF92" s="152">
        <f t="shared" si="25"/>
        <v>30600</v>
      </c>
    </row>
    <row r="93" ht="12" customHeight="1" outlineLevel="1" spans="1:32">
      <c r="A93" s="144" t="s">
        <v>195</v>
      </c>
      <c r="B93" s="144" t="s">
        <v>198</v>
      </c>
      <c r="C93" s="175" t="s">
        <v>199</v>
      </c>
      <c r="D93" s="146" t="s">
        <v>74</v>
      </c>
      <c r="E93" s="146" t="s">
        <v>39</v>
      </c>
      <c r="F93" s="147"/>
      <c r="G93" s="148"/>
      <c r="H93" s="148"/>
      <c r="I93" s="149"/>
      <c r="J93" s="149"/>
      <c r="K93" s="150"/>
      <c r="L93" s="150"/>
      <c r="M93" s="148"/>
      <c r="N93" s="148"/>
      <c r="O93" s="149"/>
      <c r="P93" s="149"/>
      <c r="Q93" s="150"/>
      <c r="R93" s="150">
        <v>10200</v>
      </c>
      <c r="S93" s="148"/>
      <c r="T93" s="148"/>
      <c r="U93" s="149">
        <v>0</v>
      </c>
      <c r="V93" s="149"/>
      <c r="W93" s="150"/>
      <c r="X93" s="150">
        <v>5100</v>
      </c>
      <c r="Y93" s="148">
        <v>0</v>
      </c>
      <c r="Z93" s="148"/>
      <c r="AA93" s="149">
        <v>0</v>
      </c>
      <c r="AB93" s="149"/>
      <c r="AC93" s="150">
        <v>0</v>
      </c>
      <c r="AD93" s="150"/>
      <c r="AE93" s="151">
        <f t="shared" si="24"/>
        <v>0</v>
      </c>
      <c r="AF93" s="152">
        <f t="shared" si="25"/>
        <v>15300</v>
      </c>
    </row>
    <row r="94" ht="12" customHeight="1" outlineLevel="1" spans="1:32">
      <c r="A94" s="144" t="s">
        <v>195</v>
      </c>
      <c r="B94" s="144" t="s">
        <v>200</v>
      </c>
      <c r="C94" s="175" t="s">
        <v>201</v>
      </c>
      <c r="D94" s="146" t="s">
        <v>74</v>
      </c>
      <c r="E94" s="146" t="s">
        <v>39</v>
      </c>
      <c r="F94" s="147"/>
      <c r="G94" s="148"/>
      <c r="H94" s="148"/>
      <c r="I94" s="149"/>
      <c r="J94" s="149"/>
      <c r="K94" s="150"/>
      <c r="L94" s="150"/>
      <c r="M94" s="148"/>
      <c r="N94" s="148"/>
      <c r="O94" s="149"/>
      <c r="P94" s="149"/>
      <c r="Q94" s="150"/>
      <c r="R94" s="150">
        <v>0</v>
      </c>
      <c r="S94" s="148"/>
      <c r="T94" s="148"/>
      <c r="U94" s="149">
        <v>0</v>
      </c>
      <c r="V94" s="149"/>
      <c r="W94" s="150"/>
      <c r="X94" s="150">
        <v>15300</v>
      </c>
      <c r="Y94" s="148">
        <v>0</v>
      </c>
      <c r="Z94" s="148">
        <v>5095</v>
      </c>
      <c r="AA94" s="149">
        <v>0</v>
      </c>
      <c r="AB94" s="149"/>
      <c r="AC94" s="150">
        <v>0</v>
      </c>
      <c r="AD94" s="150"/>
      <c r="AE94" s="151">
        <f t="shared" si="24"/>
        <v>0</v>
      </c>
      <c r="AF94" s="152">
        <f t="shared" si="25"/>
        <v>20395</v>
      </c>
    </row>
    <row r="95" ht="12" customHeight="1" outlineLevel="1" spans="1:32">
      <c r="A95" s="144" t="s">
        <v>202</v>
      </c>
      <c r="B95" s="144" t="s">
        <v>203</v>
      </c>
      <c r="C95" s="175" t="s">
        <v>204</v>
      </c>
      <c r="D95" s="146" t="s">
        <v>74</v>
      </c>
      <c r="E95" s="146" t="s">
        <v>39</v>
      </c>
      <c r="F95" s="147"/>
      <c r="G95" s="148"/>
      <c r="H95" s="148"/>
      <c r="I95" s="149"/>
      <c r="J95" s="149"/>
      <c r="K95" s="150">
        <v>10000</v>
      </c>
      <c r="L95" s="150">
        <v>10000</v>
      </c>
      <c r="M95" s="148"/>
      <c r="N95" s="148"/>
      <c r="O95" s="149"/>
      <c r="P95" s="149"/>
      <c r="Q95" s="150">
        <v>10000</v>
      </c>
      <c r="R95" s="150"/>
      <c r="S95" s="148"/>
      <c r="T95" s="148"/>
      <c r="U95" s="149">
        <v>10000</v>
      </c>
      <c r="V95" s="149"/>
      <c r="W95" s="150"/>
      <c r="X95" s="150"/>
      <c r="Y95" s="148">
        <v>10000</v>
      </c>
      <c r="Z95" s="148"/>
      <c r="AA95" s="149"/>
      <c r="AB95" s="149"/>
      <c r="AC95" s="150"/>
      <c r="AD95" s="150"/>
      <c r="AE95" s="151">
        <f t="shared" si="24"/>
        <v>40000</v>
      </c>
      <c r="AF95" s="152">
        <f t="shared" si="25"/>
        <v>10000</v>
      </c>
    </row>
    <row r="96" ht="12" customHeight="1" outlineLevel="1" spans="1:32">
      <c r="A96" s="144" t="s">
        <v>202</v>
      </c>
      <c r="B96" s="144" t="s">
        <v>205</v>
      </c>
      <c r="C96" s="175" t="s">
        <v>206</v>
      </c>
      <c r="D96" s="146" t="s">
        <v>74</v>
      </c>
      <c r="E96" s="146" t="s">
        <v>39</v>
      </c>
      <c r="F96" s="147"/>
      <c r="G96" s="148"/>
      <c r="H96" s="148"/>
      <c r="I96" s="149"/>
      <c r="J96" s="149"/>
      <c r="K96" s="150">
        <v>10000</v>
      </c>
      <c r="L96" s="150">
        <v>10000</v>
      </c>
      <c r="M96" s="148"/>
      <c r="N96" s="148"/>
      <c r="O96" s="149"/>
      <c r="P96" s="149"/>
      <c r="Q96" s="150">
        <v>10000</v>
      </c>
      <c r="R96" s="150"/>
      <c r="S96" s="148"/>
      <c r="T96" s="148"/>
      <c r="U96" s="149">
        <v>10000</v>
      </c>
      <c r="V96" s="149"/>
      <c r="W96" s="150"/>
      <c r="X96" s="150"/>
      <c r="Y96" s="148"/>
      <c r="Z96" s="148"/>
      <c r="AA96" s="149"/>
      <c r="AB96" s="149"/>
      <c r="AC96" s="150"/>
      <c r="AD96" s="150"/>
      <c r="AE96" s="151">
        <f t="shared" si="24"/>
        <v>30000</v>
      </c>
      <c r="AF96" s="152">
        <f t="shared" si="25"/>
        <v>10000</v>
      </c>
    </row>
    <row r="97" ht="12" customHeight="1" outlineLevel="1" spans="1:32">
      <c r="A97" s="144" t="s">
        <v>202</v>
      </c>
      <c r="B97" s="144" t="s">
        <v>207</v>
      </c>
      <c r="C97" s="175" t="s">
        <v>208</v>
      </c>
      <c r="D97" s="146" t="s">
        <v>74</v>
      </c>
      <c r="E97" s="146" t="s">
        <v>39</v>
      </c>
      <c r="F97" s="147"/>
      <c r="G97" s="148"/>
      <c r="H97" s="148"/>
      <c r="I97" s="149"/>
      <c r="J97" s="149"/>
      <c r="K97" s="150"/>
      <c r="L97" s="150"/>
      <c r="M97" s="148"/>
      <c r="N97" s="148"/>
      <c r="O97" s="149">
        <v>10000</v>
      </c>
      <c r="P97" s="149"/>
      <c r="Q97" s="150"/>
      <c r="R97" s="150"/>
      <c r="S97" s="148">
        <v>10000</v>
      </c>
      <c r="T97" s="148"/>
      <c r="U97" s="149"/>
      <c r="V97" s="149"/>
      <c r="W97" s="150">
        <v>10000</v>
      </c>
      <c r="X97" s="150"/>
      <c r="Y97" s="148"/>
      <c r="Z97" s="148"/>
      <c r="AA97" s="149">
        <v>10000</v>
      </c>
      <c r="AB97" s="149"/>
      <c r="AC97" s="150"/>
      <c r="AD97" s="150"/>
      <c r="AE97" s="151">
        <f t="shared" si="24"/>
        <v>40000</v>
      </c>
      <c r="AF97" s="152">
        <f t="shared" si="25"/>
        <v>0</v>
      </c>
    </row>
    <row r="98" outlineLevel="1" spans="1:32">
      <c r="A98" s="144" t="s">
        <v>209</v>
      </c>
      <c r="B98" s="144" t="s">
        <v>210</v>
      </c>
      <c r="C98" s="175" t="s">
        <v>211</v>
      </c>
      <c r="D98" s="146" t="s">
        <v>74</v>
      </c>
      <c r="E98" s="146" t="s">
        <v>39</v>
      </c>
      <c r="F98" s="147" t="e">
        <f>#REF!+#REF!+#REF!+#REF!+#REF!</f>
        <v>#REF!</v>
      </c>
      <c r="G98" s="148"/>
      <c r="H98" s="148"/>
      <c r="I98" s="149"/>
      <c r="J98" s="149"/>
      <c r="K98" s="150"/>
      <c r="L98" s="150"/>
      <c r="M98" s="148">
        <v>20000</v>
      </c>
      <c r="N98" s="148"/>
      <c r="O98" s="149"/>
      <c r="P98" s="149"/>
      <c r="Q98" s="150"/>
      <c r="R98" s="150"/>
      <c r="S98" s="148">
        <v>10000</v>
      </c>
      <c r="T98" s="148"/>
      <c r="U98" s="149"/>
      <c r="V98" s="149"/>
      <c r="W98" s="150">
        <v>10000</v>
      </c>
      <c r="X98" s="150"/>
      <c r="Y98" s="148"/>
      <c r="Z98" s="148"/>
      <c r="AA98" s="149"/>
      <c r="AB98" s="149"/>
      <c r="AC98" s="150"/>
      <c r="AD98" s="150"/>
      <c r="AE98" s="151">
        <f t="shared" si="24"/>
        <v>40000</v>
      </c>
      <c r="AF98" s="152">
        <f t="shared" si="25"/>
        <v>0</v>
      </c>
    </row>
    <row r="99" outlineLevel="1" spans="1:32">
      <c r="A99" s="153" t="s">
        <v>212</v>
      </c>
      <c r="B99" s="144" t="s">
        <v>213</v>
      </c>
      <c r="C99" s="175"/>
      <c r="D99" s="175" t="s">
        <v>74</v>
      </c>
      <c r="E99" s="146" t="s">
        <v>194</v>
      </c>
      <c r="F99" s="147"/>
      <c r="G99" s="148"/>
      <c r="H99" s="148"/>
      <c r="I99" s="149">
        <v>100</v>
      </c>
      <c r="J99" s="149"/>
      <c r="K99" s="150">
        <v>0</v>
      </c>
      <c r="L99" s="150"/>
      <c r="M99" s="148"/>
      <c r="N99" s="148"/>
      <c r="O99" s="149">
        <v>10000</v>
      </c>
      <c r="P99" s="149"/>
      <c r="Q99" s="150">
        <v>10000</v>
      </c>
      <c r="R99" s="150"/>
      <c r="S99" s="148">
        <v>10000</v>
      </c>
      <c r="T99" s="148"/>
      <c r="U99" s="149">
        <v>10000</v>
      </c>
      <c r="V99" s="149"/>
      <c r="W99" s="150">
        <v>10000</v>
      </c>
      <c r="X99" s="150"/>
      <c r="Y99" s="148">
        <v>10000</v>
      </c>
      <c r="Z99" s="148"/>
      <c r="AA99" s="149">
        <v>10000</v>
      </c>
      <c r="AB99" s="149"/>
      <c r="AC99" s="150">
        <v>6400</v>
      </c>
      <c r="AD99" s="150"/>
      <c r="AE99" s="151">
        <f>G99+I99+K99+M99+O99+Q99+S99+U99+W99+Y99+AA99+AC99</f>
        <v>76500</v>
      </c>
      <c r="AF99" s="152">
        <f>H99+J99+L99+N99+P99+R99+T99+V99+X99+Z99+AB99+AD99</f>
        <v>0</v>
      </c>
    </row>
    <row r="100" outlineLevel="1" spans="1:32">
      <c r="A100" s="153" t="s">
        <v>214</v>
      </c>
      <c r="B100" s="144" t="s">
        <v>215</v>
      </c>
      <c r="C100" s="175"/>
      <c r="D100" s="175" t="s">
        <v>74</v>
      </c>
      <c r="E100" s="146" t="s">
        <v>194</v>
      </c>
      <c r="F100" s="147"/>
      <c r="G100" s="148"/>
      <c r="H100" s="148"/>
      <c r="I100" s="149">
        <v>1224</v>
      </c>
      <c r="J100" s="149"/>
      <c r="K100" s="150"/>
      <c r="L100" s="150"/>
      <c r="M100" s="148"/>
      <c r="N100" s="148"/>
      <c r="O100" s="149"/>
      <c r="P100" s="149"/>
      <c r="Q100" s="150"/>
      <c r="R100" s="150"/>
      <c r="S100" s="148"/>
      <c r="T100" s="148"/>
      <c r="U100" s="149"/>
      <c r="V100" s="149"/>
      <c r="W100" s="150"/>
      <c r="X100" s="150"/>
      <c r="Y100" s="148"/>
      <c r="Z100" s="148"/>
      <c r="AA100" s="149"/>
      <c r="AB100" s="149"/>
      <c r="AC100" s="150"/>
      <c r="AD100" s="150"/>
      <c r="AE100" s="151">
        <f>G100+I100+K100+M100+O100+Q100+S100+U100+W100+Y100+AA100+AC100</f>
        <v>1224</v>
      </c>
      <c r="AF100" s="152">
        <f>H100+J100+L100+N100+P100+R100+T100+V100+X100+Z100+AB100+AD100</f>
        <v>0</v>
      </c>
    </row>
    <row r="101" outlineLevel="1" spans="1:32">
      <c r="A101" s="153" t="s">
        <v>216</v>
      </c>
      <c r="B101" s="144" t="s">
        <v>217</v>
      </c>
      <c r="C101" s="175"/>
      <c r="D101" s="175" t="s">
        <v>74</v>
      </c>
      <c r="E101" s="146" t="s">
        <v>194</v>
      </c>
      <c r="F101" s="147"/>
      <c r="G101" s="148"/>
      <c r="H101" s="148"/>
      <c r="I101" s="149">
        <v>1000</v>
      </c>
      <c r="J101" s="149"/>
      <c r="K101" s="150"/>
      <c r="L101" s="150"/>
      <c r="M101" s="148"/>
      <c r="N101" s="148"/>
      <c r="O101" s="149"/>
      <c r="P101" s="149"/>
      <c r="Q101" s="150"/>
      <c r="R101" s="150"/>
      <c r="S101" s="148"/>
      <c r="T101" s="148"/>
      <c r="U101" s="149"/>
      <c r="V101" s="149"/>
      <c r="W101" s="150"/>
      <c r="X101" s="150"/>
      <c r="Y101" s="148"/>
      <c r="Z101" s="148"/>
      <c r="AA101" s="149"/>
      <c r="AB101" s="149"/>
      <c r="AC101" s="150"/>
      <c r="AD101" s="150"/>
      <c r="AE101" s="151">
        <f>G101+I101+K101+M101+O101+Q101+S101+U101+W101+Y101+AA101+AC101</f>
        <v>1000</v>
      </c>
      <c r="AF101" s="152">
        <f>H101+J101+L101+N101+P101+R101+T101+V101+X101+Z101+AB101+AD101</f>
        <v>0</v>
      </c>
    </row>
    <row r="102" outlineLevel="1" spans="1:32">
      <c r="A102" s="165" t="s">
        <v>218</v>
      </c>
      <c r="B102" s="187" t="s">
        <v>219</v>
      </c>
      <c r="C102" s="191" t="s">
        <v>220</v>
      </c>
      <c r="D102" s="169" t="s">
        <v>74</v>
      </c>
      <c r="E102" s="178" t="s">
        <v>139</v>
      </c>
      <c r="F102" s="147"/>
      <c r="G102" s="148"/>
      <c r="H102" s="148"/>
      <c r="I102" s="149">
        <v>0</v>
      </c>
      <c r="J102" s="149"/>
      <c r="K102" s="150">
        <v>0</v>
      </c>
      <c r="L102" s="150"/>
      <c r="M102" s="148">
        <v>473</v>
      </c>
      <c r="N102" s="148"/>
      <c r="O102" s="149">
        <v>6000</v>
      </c>
      <c r="P102" s="149">
        <v>6000</v>
      </c>
      <c r="Q102" s="150">
        <v>10000</v>
      </c>
      <c r="R102" s="150">
        <v>6500</v>
      </c>
      <c r="S102" s="148">
        <v>10000</v>
      </c>
      <c r="T102" s="148"/>
      <c r="U102" s="149">
        <v>10000</v>
      </c>
      <c r="V102" s="149"/>
      <c r="W102" s="150">
        <v>10000</v>
      </c>
      <c r="X102" s="150">
        <v>2500</v>
      </c>
      <c r="Y102" s="148">
        <v>11000</v>
      </c>
      <c r="Z102" s="148"/>
      <c r="AA102" s="149">
        <v>11000</v>
      </c>
      <c r="AB102" s="149"/>
      <c r="AC102" s="150">
        <v>10000</v>
      </c>
      <c r="AD102" s="150"/>
      <c r="AE102" s="151">
        <f>G102+I102+K102+M102+O102+Q102+S102+U102+W102+Y102+AA102+AC102</f>
        <v>78473</v>
      </c>
      <c r="AF102" s="152">
        <f>H102+J102+L102+N102+P102+R102+T102+V102+X102+Z102+AB102+AD102</f>
        <v>15000</v>
      </c>
    </row>
    <row r="103" outlineLevel="1" spans="1:32">
      <c r="A103" s="144" t="s">
        <v>221</v>
      </c>
      <c r="B103" s="144" t="s">
        <v>222</v>
      </c>
      <c r="C103" s="175" t="s">
        <v>223</v>
      </c>
      <c r="D103" s="146" t="s">
        <v>54</v>
      </c>
      <c r="E103" s="146" t="s">
        <v>61</v>
      </c>
      <c r="F103" s="147"/>
      <c r="G103" s="148"/>
      <c r="H103" s="148"/>
      <c r="I103" s="149">
        <v>50000</v>
      </c>
      <c r="J103" s="149">
        <v>15000</v>
      </c>
      <c r="K103" s="150">
        <v>50000</v>
      </c>
      <c r="L103" s="150">
        <v>35000</v>
      </c>
      <c r="M103" s="148">
        <v>50000</v>
      </c>
      <c r="N103" s="148"/>
      <c r="O103" s="149"/>
      <c r="P103" s="149"/>
      <c r="Q103" s="150">
        <v>50000</v>
      </c>
      <c r="R103" s="150"/>
      <c r="S103" s="148">
        <v>50000</v>
      </c>
      <c r="T103" s="148"/>
      <c r="U103" s="149">
        <v>0</v>
      </c>
      <c r="V103" s="149">
        <v>30000</v>
      </c>
      <c r="W103" s="150">
        <v>50000</v>
      </c>
      <c r="X103" s="150"/>
      <c r="Y103" s="148">
        <v>50000</v>
      </c>
      <c r="Z103" s="148"/>
      <c r="AA103" s="149"/>
      <c r="AB103" s="149"/>
      <c r="AC103" s="150">
        <v>0</v>
      </c>
      <c r="AD103" s="150"/>
      <c r="AE103" s="151">
        <f>G103+I103+K103+M103+O103+Q103+S103+U103+W103+Y103+AA103+AC103</f>
        <v>350000</v>
      </c>
      <c r="AF103" s="152">
        <f t="shared" ref="AF103:AF113" si="26">H103+J103+L103+N103+P103+R103+T103+V103+X103+Z103+AB103+AD103</f>
        <v>80000</v>
      </c>
    </row>
    <row r="104" outlineLevel="1" spans="1:32">
      <c r="A104" s="144" t="s">
        <v>221</v>
      </c>
      <c r="B104" s="144" t="s">
        <v>224</v>
      </c>
      <c r="C104" s="175" t="s">
        <v>225</v>
      </c>
      <c r="D104" s="146" t="s">
        <v>54</v>
      </c>
      <c r="E104" s="146" t="s">
        <v>61</v>
      </c>
      <c r="F104" s="147"/>
      <c r="G104" s="148"/>
      <c r="H104" s="148"/>
      <c r="I104" s="149">
        <v>50000</v>
      </c>
      <c r="J104" s="149">
        <v>15000</v>
      </c>
      <c r="K104" s="150">
        <v>50000</v>
      </c>
      <c r="L104" s="150">
        <v>35000</v>
      </c>
      <c r="M104" s="148">
        <v>50000</v>
      </c>
      <c r="N104" s="148"/>
      <c r="O104" s="149"/>
      <c r="P104" s="149"/>
      <c r="Q104" s="150">
        <v>50000</v>
      </c>
      <c r="R104" s="150"/>
      <c r="S104" s="148">
        <v>50000</v>
      </c>
      <c r="T104" s="148"/>
      <c r="U104" s="149"/>
      <c r="V104" s="149">
        <v>35000</v>
      </c>
      <c r="W104" s="150">
        <v>50000</v>
      </c>
      <c r="X104" s="150">
        <v>65000</v>
      </c>
      <c r="Y104" s="148">
        <v>50000</v>
      </c>
      <c r="Z104" s="148"/>
      <c r="AA104" s="149"/>
      <c r="AB104" s="149">
        <v>35000</v>
      </c>
      <c r="AC104" s="150">
        <v>0</v>
      </c>
      <c r="AD104" s="150"/>
      <c r="AE104" s="151">
        <f>G104+I104+K104+M104+O104+Q104+S104+U104+W104+Y104+AA104+AC104</f>
        <v>350000</v>
      </c>
      <c r="AF104" s="152">
        <f t="shared" si="26"/>
        <v>185000</v>
      </c>
    </row>
    <row r="105" outlineLevel="1" spans="1:32">
      <c r="A105" s="144" t="s">
        <v>221</v>
      </c>
      <c r="B105" s="144" t="s">
        <v>226</v>
      </c>
      <c r="C105" s="175" t="s">
        <v>227</v>
      </c>
      <c r="D105" s="146" t="s">
        <v>54</v>
      </c>
      <c r="E105" s="146" t="s">
        <v>61</v>
      </c>
      <c r="F105" s="147"/>
      <c r="G105" s="148"/>
      <c r="H105" s="148"/>
      <c r="I105" s="149"/>
      <c r="J105" s="149"/>
      <c r="K105" s="150"/>
      <c r="L105" s="150"/>
      <c r="M105" s="148">
        <v>50000</v>
      </c>
      <c r="N105" s="148"/>
      <c r="O105" s="149">
        <v>50000</v>
      </c>
      <c r="P105" s="149">
        <v>24000</v>
      </c>
      <c r="Q105" s="150">
        <v>0</v>
      </c>
      <c r="R105" s="150">
        <v>1000</v>
      </c>
      <c r="S105" s="148">
        <v>50000</v>
      </c>
      <c r="T105" s="148"/>
      <c r="U105" s="149">
        <v>50000</v>
      </c>
      <c r="V105" s="149">
        <v>20000</v>
      </c>
      <c r="W105" s="150"/>
      <c r="X105" s="150">
        <v>20000</v>
      </c>
      <c r="Y105" s="148">
        <v>50000</v>
      </c>
      <c r="Z105" s="148"/>
      <c r="AA105" s="149">
        <v>36000</v>
      </c>
      <c r="AB105" s="149"/>
      <c r="AC105" s="150"/>
      <c r="AD105" s="150"/>
      <c r="AE105" s="151">
        <f>G105+I105+K105+M105+O105+Q105+S105+U105+W105+Y105+AA105+AC105</f>
        <v>286000</v>
      </c>
      <c r="AF105" s="152">
        <f t="shared" si="26"/>
        <v>65000</v>
      </c>
    </row>
    <row r="106" outlineLevel="1" spans="1:32">
      <c r="A106" s="144" t="s">
        <v>221</v>
      </c>
      <c r="B106" s="144" t="s">
        <v>81</v>
      </c>
      <c r="C106" s="175"/>
      <c r="D106" s="146" t="s">
        <v>54</v>
      </c>
      <c r="E106" s="146" t="s">
        <v>39</v>
      </c>
      <c r="F106" s="147"/>
      <c r="G106" s="148"/>
      <c r="H106" s="148"/>
      <c r="I106" s="149"/>
      <c r="J106" s="149"/>
      <c r="K106" s="150"/>
      <c r="L106" s="150"/>
      <c r="M106" s="148"/>
      <c r="N106" s="148"/>
      <c r="O106" s="149"/>
      <c r="P106" s="149"/>
      <c r="Q106" s="150">
        <v>10000</v>
      </c>
      <c r="R106" s="150"/>
      <c r="S106" s="148">
        <v>10000</v>
      </c>
      <c r="T106" s="148"/>
      <c r="U106" s="149">
        <v>10000</v>
      </c>
      <c r="V106" s="149">
        <v>22000</v>
      </c>
      <c r="W106" s="150">
        <v>10000</v>
      </c>
      <c r="X106" s="150"/>
      <c r="Y106" s="148">
        <v>10000</v>
      </c>
      <c r="Z106" s="148"/>
      <c r="AA106" s="149">
        <v>0</v>
      </c>
      <c r="AB106" s="149"/>
      <c r="AC106" s="150">
        <v>10000</v>
      </c>
      <c r="AD106" s="150"/>
      <c r="AE106" s="151">
        <f>G106+I106+K106+M106+O106+Q106+S106+U106+W106+Y106+AA106+AC106</f>
        <v>60000</v>
      </c>
      <c r="AF106" s="152">
        <f t="shared" si="26"/>
        <v>22000</v>
      </c>
    </row>
    <row r="107" outlineLevel="1" spans="1:32">
      <c r="A107" s="144" t="s">
        <v>221</v>
      </c>
      <c r="B107" s="144" t="s">
        <v>228</v>
      </c>
      <c r="C107" s="175"/>
      <c r="D107" s="146" t="s">
        <v>54</v>
      </c>
      <c r="E107" s="146" t="s">
        <v>39</v>
      </c>
      <c r="F107" s="147"/>
      <c r="G107" s="148"/>
      <c r="H107" s="148"/>
      <c r="I107" s="149"/>
      <c r="J107" s="149"/>
      <c r="K107" s="150"/>
      <c r="L107" s="150"/>
      <c r="M107" s="148"/>
      <c r="N107" s="148"/>
      <c r="O107" s="149"/>
      <c r="P107" s="149"/>
      <c r="Q107" s="150"/>
      <c r="R107" s="150"/>
      <c r="S107" s="148"/>
      <c r="T107" s="148"/>
      <c r="U107" s="149"/>
      <c r="V107" s="149"/>
      <c r="W107" s="150"/>
      <c r="X107" s="150">
        <v>10000</v>
      </c>
      <c r="Y107" s="148"/>
      <c r="Z107" s="148"/>
      <c r="AA107" s="149"/>
      <c r="AB107" s="149"/>
      <c r="AC107" s="150"/>
      <c r="AD107" s="150"/>
      <c r="AE107" s="151"/>
      <c r="AF107" s="152">
        <f t="shared" si="26"/>
        <v>10000</v>
      </c>
    </row>
    <row r="108" outlineLevel="1" spans="1:32">
      <c r="A108" s="144" t="s">
        <v>221</v>
      </c>
      <c r="B108" s="144" t="s">
        <v>229</v>
      </c>
      <c r="C108" s="175"/>
      <c r="D108" s="146" t="s">
        <v>54</v>
      </c>
      <c r="E108" s="146" t="s">
        <v>39</v>
      </c>
      <c r="F108" s="147"/>
      <c r="G108" s="148"/>
      <c r="H108" s="148"/>
      <c r="I108" s="149"/>
      <c r="J108" s="149"/>
      <c r="K108" s="150"/>
      <c r="L108" s="150"/>
      <c r="M108" s="148"/>
      <c r="N108" s="148"/>
      <c r="O108" s="149"/>
      <c r="P108" s="149"/>
      <c r="Q108" s="150"/>
      <c r="R108" s="150"/>
      <c r="S108" s="148"/>
      <c r="T108" s="148"/>
      <c r="U108" s="149"/>
      <c r="V108" s="149"/>
      <c r="W108" s="150"/>
      <c r="X108" s="150">
        <v>0</v>
      </c>
      <c r="Y108" s="148"/>
      <c r="Z108" s="148"/>
      <c r="AA108" s="149"/>
      <c r="AB108" s="149"/>
      <c r="AC108" s="150"/>
      <c r="AD108" s="150">
        <v>10000</v>
      </c>
      <c r="AE108" s="151"/>
      <c r="AF108" s="152">
        <f t="shared" si="26"/>
        <v>10000</v>
      </c>
    </row>
    <row r="109" outlineLevel="1" spans="1:32">
      <c r="A109" s="176" t="s">
        <v>230</v>
      </c>
      <c r="B109" s="192" t="s">
        <v>192</v>
      </c>
      <c r="C109" s="193" t="s">
        <v>231</v>
      </c>
      <c r="D109" s="164" t="s">
        <v>74</v>
      </c>
      <c r="E109" s="164" t="s">
        <v>139</v>
      </c>
      <c r="F109" s="147"/>
      <c r="G109" s="148"/>
      <c r="H109" s="148"/>
      <c r="I109" s="149"/>
      <c r="J109" s="149">
        <v>10800</v>
      </c>
      <c r="K109" s="150">
        <v>30000</v>
      </c>
      <c r="L109" s="150">
        <v>19200</v>
      </c>
      <c r="M109" s="148"/>
      <c r="N109" s="148"/>
      <c r="O109" s="149"/>
      <c r="P109" s="149"/>
      <c r="Q109" s="150"/>
      <c r="R109" s="150"/>
      <c r="S109" s="148"/>
      <c r="T109" s="148"/>
      <c r="U109" s="149"/>
      <c r="V109" s="149"/>
      <c r="W109" s="150"/>
      <c r="X109" s="150"/>
      <c r="Y109" s="148"/>
      <c r="Z109" s="148"/>
      <c r="AA109" s="149"/>
      <c r="AB109" s="149"/>
      <c r="AC109" s="150"/>
      <c r="AD109" s="150"/>
      <c r="AE109" s="151">
        <f>G109+I109+K109+M109+O109+Q109+S109+U109+W109+Y109+AA109+AC109</f>
        <v>30000</v>
      </c>
      <c r="AF109" s="152">
        <f t="shared" si="26"/>
        <v>30000</v>
      </c>
    </row>
    <row r="110" outlineLevel="1" spans="1:32">
      <c r="A110" s="176" t="s">
        <v>230</v>
      </c>
      <c r="B110" s="192" t="s">
        <v>192</v>
      </c>
      <c r="C110" s="193" t="s">
        <v>232</v>
      </c>
      <c r="D110" s="164" t="s">
        <v>74</v>
      </c>
      <c r="E110" s="164" t="s">
        <v>139</v>
      </c>
      <c r="F110" s="147"/>
      <c r="G110" s="148">
        <v>716</v>
      </c>
      <c r="H110" s="148">
        <v>716</v>
      </c>
      <c r="I110" s="149">
        <v>904</v>
      </c>
      <c r="J110" s="149"/>
      <c r="K110" s="150">
        <v>1380</v>
      </c>
      <c r="L110" s="150">
        <v>2284</v>
      </c>
      <c r="M110" s="148"/>
      <c r="N110" s="148"/>
      <c r="O110" s="149">
        <v>5000</v>
      </c>
      <c r="P110" s="149">
        <v>2084</v>
      </c>
      <c r="Q110" s="150"/>
      <c r="R110" s="150"/>
      <c r="S110" s="148"/>
      <c r="T110" s="148"/>
      <c r="U110" s="149"/>
      <c r="V110" s="149"/>
      <c r="W110" s="150"/>
      <c r="X110" s="150">
        <v>2916</v>
      </c>
      <c r="Y110" s="148"/>
      <c r="Z110" s="148"/>
      <c r="AA110" s="149"/>
      <c r="AB110" s="149"/>
      <c r="AC110" s="150"/>
      <c r="AD110" s="150"/>
      <c r="AE110" s="151">
        <f>G110+I110+K110+M110+O110+Q110+S110+U110+W110+Y110+AA110+AC110</f>
        <v>8000</v>
      </c>
      <c r="AF110" s="152">
        <f t="shared" si="26"/>
        <v>8000</v>
      </c>
    </row>
    <row r="111" s="121" customFormat="1" ht="15.75" spans="1:32">
      <c r="A111" s="155" t="s">
        <v>233</v>
      </c>
      <c r="B111" s="155"/>
      <c r="C111" s="156"/>
      <c r="D111" s="157"/>
      <c r="E111" s="157"/>
      <c r="F111" s="170" t="e">
        <f>SUM(F71:F88)</f>
        <v>#REF!</v>
      </c>
      <c r="G111" s="170">
        <f>SUM(G71:G110)</f>
        <v>10716</v>
      </c>
      <c r="H111" s="170">
        <f>SUM(H71:H110)</f>
        <v>15916</v>
      </c>
      <c r="I111" s="170">
        <f t="shared" ref="I111:AD111" si="27">SUM(I71:I110)</f>
        <v>116228</v>
      </c>
      <c r="J111" s="170">
        <f t="shared" si="27"/>
        <v>45800</v>
      </c>
      <c r="K111" s="170">
        <f t="shared" si="27"/>
        <v>166380</v>
      </c>
      <c r="L111" s="170">
        <f t="shared" si="27"/>
        <v>111484</v>
      </c>
      <c r="M111" s="170">
        <f t="shared" si="27"/>
        <v>194473</v>
      </c>
      <c r="N111" s="170">
        <f t="shared" si="27"/>
        <v>15930</v>
      </c>
      <c r="O111" s="170">
        <f t="shared" si="27"/>
        <v>106000</v>
      </c>
      <c r="P111" s="170">
        <f t="shared" si="27"/>
        <v>50984</v>
      </c>
      <c r="Q111" s="170">
        <f t="shared" si="27"/>
        <v>180000</v>
      </c>
      <c r="R111" s="170">
        <f t="shared" si="27"/>
        <v>107700</v>
      </c>
      <c r="S111" s="170">
        <f t="shared" si="27"/>
        <v>255000</v>
      </c>
      <c r="T111" s="170">
        <f t="shared" si="27"/>
        <v>209500</v>
      </c>
      <c r="U111" s="170">
        <f t="shared" si="27"/>
        <v>165000</v>
      </c>
      <c r="V111" s="170">
        <f t="shared" si="27"/>
        <v>207000</v>
      </c>
      <c r="W111" s="170">
        <f t="shared" si="27"/>
        <v>210000</v>
      </c>
      <c r="X111" s="170">
        <f t="shared" si="27"/>
        <v>451016</v>
      </c>
      <c r="Y111" s="170">
        <f t="shared" si="27"/>
        <v>256000</v>
      </c>
      <c r="Z111" s="170">
        <f t="shared" si="27"/>
        <v>95095</v>
      </c>
      <c r="AA111" s="170">
        <f t="shared" si="27"/>
        <v>147000</v>
      </c>
      <c r="AB111" s="170">
        <f t="shared" si="27"/>
        <v>84993</v>
      </c>
      <c r="AC111" s="170">
        <f t="shared" si="27"/>
        <v>90100</v>
      </c>
      <c r="AD111" s="170">
        <f t="shared" si="27"/>
        <v>65000</v>
      </c>
      <c r="AE111" s="159">
        <f>G111+I111+K111+M111+O111+Q111+S111+U111+W111+Y111+AA111+AC111</f>
        <v>1896897</v>
      </c>
      <c r="AF111" s="159">
        <f>H111+J111+L111+N111+P111+R111+T111+V111+X111+Z111+AB111+AD111</f>
        <v>1460418</v>
      </c>
    </row>
    <row r="112" s="123" customFormat="1" ht="27.75" customHeight="1" spans="1:32">
      <c r="A112" s="194" t="s">
        <v>33</v>
      </c>
      <c r="B112" s="195"/>
      <c r="C112" s="195"/>
      <c r="D112" s="195"/>
      <c r="E112" s="195"/>
      <c r="F112" s="196" t="e">
        <f>F13+F17+F23+F29+F38+#REF!+F48+F65+F111</f>
        <v>#REF!</v>
      </c>
      <c r="G112" s="196">
        <f t="shared" ref="G112:AD112" si="28">G13+G17+G23+G29+G35+G38+G48+G58+G65+G70+G111</f>
        <v>2129871</v>
      </c>
      <c r="H112" s="196">
        <f t="shared" si="28"/>
        <v>2253215</v>
      </c>
      <c r="I112" s="196">
        <f t="shared" si="28"/>
        <v>1777272</v>
      </c>
      <c r="J112" s="196">
        <f t="shared" si="28"/>
        <v>1369112</v>
      </c>
      <c r="K112" s="196">
        <f t="shared" si="28"/>
        <v>1973093</v>
      </c>
      <c r="L112" s="196">
        <f t="shared" si="28"/>
        <v>1551175</v>
      </c>
      <c r="M112" s="196">
        <f t="shared" si="28"/>
        <v>1663731</v>
      </c>
      <c r="N112" s="196">
        <f t="shared" si="28"/>
        <v>1314512</v>
      </c>
      <c r="O112" s="196">
        <f t="shared" si="28"/>
        <v>2345000</v>
      </c>
      <c r="P112" s="196">
        <f t="shared" si="28"/>
        <v>1872333</v>
      </c>
      <c r="Q112" s="196">
        <f t="shared" si="28"/>
        <v>2305000</v>
      </c>
      <c r="R112" s="196">
        <f t="shared" si="28"/>
        <v>1625477</v>
      </c>
      <c r="S112" s="196">
        <f t="shared" si="28"/>
        <v>2860000</v>
      </c>
      <c r="T112" s="196">
        <f t="shared" si="28"/>
        <v>1980972</v>
      </c>
      <c r="U112" s="196">
        <f t="shared" si="28"/>
        <v>2914000</v>
      </c>
      <c r="V112" s="196">
        <f t="shared" si="28"/>
        <v>1970077</v>
      </c>
      <c r="W112" s="196">
        <f t="shared" si="28"/>
        <v>3017422</v>
      </c>
      <c r="X112" s="196">
        <f t="shared" si="28"/>
        <v>2961048</v>
      </c>
      <c r="Y112" s="196">
        <f t="shared" si="28"/>
        <v>3076000</v>
      </c>
      <c r="Z112" s="196">
        <f t="shared" si="28"/>
        <v>2157768</v>
      </c>
      <c r="AA112" s="196">
        <f t="shared" si="28"/>
        <v>2191465</v>
      </c>
      <c r="AB112" s="196">
        <f t="shared" si="28"/>
        <v>2424292</v>
      </c>
      <c r="AC112" s="196">
        <f t="shared" si="28"/>
        <v>2117150</v>
      </c>
      <c r="AD112" s="196">
        <f t="shared" si="28"/>
        <v>2438678</v>
      </c>
      <c r="AE112" s="197">
        <f>G112+I112+K112+M112+O112+Q112+S112+U112+W112+Y112+AA112+AC112</f>
        <v>28370004</v>
      </c>
      <c r="AF112" s="197">
        <f>H112+J112+L112+N112+P112+R112+T112+V112+X112+Z112+AB112+AD112</f>
        <v>23918659</v>
      </c>
    </row>
  </sheetData>
  <autoFilter xmlns:etc="http://www.wps.cn/officeDocument/2017/etCustomData" ref="A4:F112" etc:filterBottomFollowUsedRange="0">
    <extLst/>
  </autoFilter>
  <mergeCells count="6">
    <mergeCell ref="A1:A4"/>
    <mergeCell ref="B1:B4"/>
    <mergeCell ref="C1:C4"/>
    <mergeCell ref="D1:D4"/>
    <mergeCell ref="E1:E4"/>
    <mergeCell ref="F1:F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S59"/>
  <sheetViews>
    <sheetView zoomScale="80" zoomScaleNormal="80" workbookViewId="0">
      <pane xSplit="2" ySplit="3" topLeftCell="C20" activePane="bottomRight" state="frozen"/>
      <selection/>
      <selection pane="topRight"/>
      <selection pane="bottomLeft"/>
      <selection pane="bottomRight" activeCell="S41" sqref="S41"/>
    </sheetView>
  </sheetViews>
  <sheetFormatPr defaultColWidth="9" defaultRowHeight="13.5"/>
  <cols>
    <col min="1" max="1" width="2.26548672566372" customWidth="1"/>
    <col min="2" max="2" width="9.45132743362832" customWidth="1"/>
    <col min="3" max="4" width="10.4513274336283" customWidth="1"/>
    <col min="5" max="8" width="10.3628318584071" customWidth="1"/>
    <col min="9" max="9" width="11.6194690265487" customWidth="1"/>
    <col min="10" max="10" width="10" customWidth="1"/>
    <col min="11" max="12" width="11.2654867256637" customWidth="1"/>
    <col min="13" max="13" width="12.6991150442478" customWidth="1"/>
    <col min="14" max="14" width="10" customWidth="1"/>
    <col min="15" max="16" width="10.3628318584071" customWidth="1"/>
    <col min="17" max="18" width="10.7256637168142" customWidth="1"/>
    <col min="19" max="20" width="10" customWidth="1"/>
    <col min="21" max="22" width="10.4513274336283" customWidth="1"/>
    <col min="23" max="24" width="10.2654867256637" customWidth="1"/>
    <col min="25" max="26" width="10.0884955752212" customWidth="1"/>
    <col min="27" max="27" width="12.0884955752212" customWidth="1"/>
    <col min="28" max="28" width="12.2654867256637" customWidth="1"/>
    <col min="29" max="29" width="10.2654867256637" customWidth="1"/>
    <col min="33" max="33" width="10.8141592920354" customWidth="1"/>
    <col min="35" max="35" width="10.0884955752212" customWidth="1"/>
    <col min="36" max="36" width="9.8141592920354" customWidth="1"/>
    <col min="37" max="44" width="10.2654867256637" customWidth="1"/>
    <col min="45" max="45" width="11.8141592920354" customWidth="1"/>
  </cols>
  <sheetData>
    <row r="1" ht="14.25" spans="2:29"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</row>
    <row r="2" ht="16.5" customHeight="1" spans="2:29">
      <c r="B2" s="70" t="s">
        <v>0</v>
      </c>
      <c r="C2" s="71" t="s">
        <v>234</v>
      </c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2"/>
      <c r="AA2" s="72"/>
      <c r="AB2" s="73"/>
    </row>
    <row r="3" ht="16.5" customHeight="1" spans="2:29">
      <c r="B3" s="74"/>
      <c r="C3" s="75" t="s">
        <v>6</v>
      </c>
      <c r="D3" s="75" t="s">
        <v>7</v>
      </c>
      <c r="E3" s="75" t="s">
        <v>8</v>
      </c>
      <c r="F3" s="75" t="s">
        <v>9</v>
      </c>
      <c r="G3" s="75" t="s">
        <v>10</v>
      </c>
      <c r="H3" s="75" t="s">
        <v>11</v>
      </c>
      <c r="I3" s="75" t="s">
        <v>12</v>
      </c>
      <c r="J3" s="75" t="s">
        <v>13</v>
      </c>
      <c r="K3" s="75" t="s">
        <v>14</v>
      </c>
      <c r="L3" s="75" t="s">
        <v>15</v>
      </c>
      <c r="M3" s="75" t="s">
        <v>16</v>
      </c>
      <c r="N3" s="75" t="s">
        <v>17</v>
      </c>
      <c r="O3" s="75" t="s">
        <v>18</v>
      </c>
      <c r="P3" s="75" t="s">
        <v>19</v>
      </c>
      <c r="Q3" s="75" t="s">
        <v>20</v>
      </c>
      <c r="R3" s="75" t="s">
        <v>21</v>
      </c>
      <c r="S3" s="75" t="s">
        <v>22</v>
      </c>
      <c r="T3" s="75" t="s">
        <v>23</v>
      </c>
      <c r="U3" s="75" t="s">
        <v>24</v>
      </c>
      <c r="V3" s="75" t="s">
        <v>25</v>
      </c>
      <c r="W3" s="75" t="s">
        <v>26</v>
      </c>
      <c r="X3" s="75" t="s">
        <v>27</v>
      </c>
      <c r="Y3" s="75" t="s">
        <v>28</v>
      </c>
      <c r="Z3" s="75" t="s">
        <v>29</v>
      </c>
      <c r="AA3" s="76" t="s">
        <v>235</v>
      </c>
      <c r="AB3" s="76" t="s">
        <v>236</v>
      </c>
    </row>
    <row r="4" ht="13.85" spans="2:29">
      <c r="B4" s="77" t="s">
        <v>35</v>
      </c>
      <c r="C4" s="78">
        <f>SUMIF('手机&amp;平板保底版销售计划数量VS 实际出货'!A:A,B4,'手机&amp;平板保底版销售计划数量VS 实际出货'!G:G)</f>
        <v>60000</v>
      </c>
      <c r="D4" s="78">
        <f>SUMIF('手机&amp;平板保底版销售计划数量VS 实际出货'!A:A,B4,'手机&amp;平板保底版销售计划数量VS 实际出货'!H:H)</f>
        <v>60000</v>
      </c>
      <c r="E4" s="79">
        <f>SUMIF('手机&amp;平板保底版销售计划数量VS 实际出货'!A:A,B4,'手机&amp;平板保底版销售计划数量VS 实际出货'!I:I)</f>
        <v>50000</v>
      </c>
      <c r="F4" s="79">
        <f>SUMIF('手机&amp;平板保底版销售计划数量VS 实际出货'!A:A,B4,'手机&amp;平板保底版销售计划数量VS 实际出货'!J:J)</f>
        <v>50000</v>
      </c>
      <c r="G4" s="80">
        <f>SUMIF('手机&amp;平板保底版销售计划数量VS 实际出货'!A:A,B4,'手机&amp;平板保底版销售计划数量VS 实际出货'!K:K)</f>
        <v>60000</v>
      </c>
      <c r="H4" s="80">
        <f>SUMIF('手机&amp;平板保底版销售计划数量VS 实际出货'!A:A,B4,'手机&amp;平板保底版销售计划数量VS 实际出货'!L:L)</f>
        <v>50500</v>
      </c>
      <c r="I4" s="78">
        <f>SUMIF('手机&amp;平板保底版销售计划数量VS 实际出货'!A:A,B4,'手机&amp;平板保底版销售计划数量VS 实际出货'!M:M)</f>
        <v>60000</v>
      </c>
      <c r="J4" s="78">
        <f>SUMIF('手机&amp;平板保底版销售计划数量VS 实际出货'!A:A,B4,'手机&amp;平板保底版销售计划数量VS 实际出货'!N:N)</f>
        <v>89500</v>
      </c>
      <c r="K4" s="81">
        <f>SUMIF('手机&amp;平板保底版销售计划数量VS 实际出货'!A:A,B4,'手机&amp;平板保底版销售计划数量VS 实际出货'!O:O)</f>
        <v>50000</v>
      </c>
      <c r="L4" s="81">
        <f>SUMIF('手机&amp;平板保底版销售计划数量VS 实际出货'!A:A,B4,'手机&amp;平板保底版销售计划数量VS 实际出货'!P:P)</f>
        <v>95000</v>
      </c>
      <c r="M4" s="82">
        <f>SUMIF('手机&amp;平板保底版销售计划数量VS 实际出货'!A:A,B4,'手机&amp;平板保底版销售计划数量VS 实际出货'!Q:Q)</f>
        <v>60000</v>
      </c>
      <c r="N4" s="82">
        <f>SUMIF('手机&amp;平板保底版销售计划数量VS 实际出货'!A:A,B4,'手机&amp;平板保底版销售计划数量VS 实际出货'!R:R)</f>
        <v>70000</v>
      </c>
      <c r="O4" s="78">
        <f>SUMIF('手机&amp;平板保底版销售计划数量VS 实际出货'!A:A,B4,'手机&amp;平板保底版销售计划数量VS 实际出货'!S:S)</f>
        <v>100000</v>
      </c>
      <c r="P4" s="78">
        <f>SUMIF('手机&amp;平板保底版销售计划数量VS 实际出货'!A:A,B4,'手机&amp;平板保底版销售计划数量VS 实际出货'!T:T)</f>
        <v>60000</v>
      </c>
      <c r="Q4" s="79">
        <f>SUMIF('手机&amp;平板保底版销售计划数量VS 实际出货'!A:A,B4,'手机&amp;平板保底版销售计划数量VS 实际出货'!U:U)</f>
        <v>40000</v>
      </c>
      <c r="R4" s="79">
        <f>SUMIF('手机&amp;平板保底版销售计划数量VS 实际出货'!A:A,B4,'手机&amp;平板保底版销售计划数量VS 实际出货'!V:V)</f>
        <v>160500</v>
      </c>
      <c r="S4" s="80">
        <f>SUMIF('手机&amp;平板保底版销售计划数量VS 实际出货'!A:A,B4,'手机&amp;平板保底版销售计划数量VS 实际出货'!W:W)</f>
        <v>180000</v>
      </c>
      <c r="T4" s="80">
        <f>SUMIF('手机&amp;平板保底版销售计划数量VS 实际出货'!A:A,B4,'手机&amp;平板保底版销售计划数量VS 实际出货'!X:X)</f>
        <v>200000</v>
      </c>
      <c r="U4" s="78">
        <f>SUMIF('手机&amp;平板保底版销售计划数量VS 实际出货'!A:A,B4,'手机&amp;平板保底版销售计划数量VS 实际出货'!Y:Y)</f>
        <v>200000</v>
      </c>
      <c r="V4" s="78">
        <f>SUMIF('手机&amp;平板保底版销售计划数量VS 实际出货'!A:A,B4,'手机&amp;平板保底版销售计划数量VS 实际出货'!Z:Z)</f>
        <v>30000</v>
      </c>
      <c r="W4" s="79">
        <f>SUMIF('手机&amp;平板保底版销售计划数量VS 实际出货'!A:A,B4,'手机&amp;平板保底版销售计划数量VS 实际出货'!AA:AA)</f>
        <v>250000</v>
      </c>
      <c r="X4" s="79">
        <f>SUMIF('手机&amp;平板保底版销售计划数量VS 实际出货'!A:A,B4,'手机&amp;平板保底版销售计划数量VS 实际出货'!AB:AB)</f>
        <v>40000</v>
      </c>
      <c r="Y4" s="80">
        <f>SUMIF('手机&amp;平板保底版销售计划数量VS 实际出货'!A:A,B4,'手机&amp;平板保底版销售计划数量VS 实际出货'!AC:AC)</f>
        <v>180000</v>
      </c>
      <c r="Z4" s="83">
        <f>SUMIF('手机&amp;平板保底版销售计划数量VS 实际出货'!A:A,B4,'手机&amp;平板保底版销售计划数量VS 实际出货'!AD:AD)</f>
        <v>25000</v>
      </c>
      <c r="AA4" s="84">
        <f>C4+E4+G4+I4+K4+M4+O4+Q4+S4+U4+W4+Y4</f>
        <v>1290000</v>
      </c>
      <c r="AB4" s="84">
        <f>D4+F4+H4+J4+L4+N4+P4+R4+T4+V4+X4+Z4</f>
        <v>930500</v>
      </c>
    </row>
    <row r="5" ht="13.85" spans="2:29">
      <c r="B5" s="77" t="s">
        <v>58</v>
      </c>
      <c r="C5" s="78">
        <f>SUMIF('手机&amp;平板保底版销售计划数量VS 实际出货'!A:A,B5,'手机&amp;平板保底版销售计划数量VS 实际出货'!G:G)</f>
        <v>1460000</v>
      </c>
      <c r="D5" s="78">
        <f>SUMIF('手机&amp;平板保底版销售计划数量VS 实际出货'!A:A,B5,'手机&amp;平板保底版销售计划数量VS 实际出货'!H:H)</f>
        <v>1608262</v>
      </c>
      <c r="E5" s="79">
        <f>SUMIF('手机&amp;平板保底版销售计划数量VS 实际出货'!A:A,B5,'手机&amp;平板保底版销售计划数量VS 实际出货'!I:I)</f>
        <v>1250000</v>
      </c>
      <c r="F5" s="79">
        <f>SUMIF('手机&amp;平板保底版销售计划数量VS 实际出货'!A:A,B5,'手机&amp;平板保底版销售计划数量VS 实际出货'!J:J)</f>
        <v>895376</v>
      </c>
      <c r="G5" s="80">
        <f>SUMIF('手机&amp;平板保底版销售计划数量VS 实际出货'!A:A,B5,'手机&amp;平板保底版销售计划数量VS 实际出货'!K:K)</f>
        <v>1150000</v>
      </c>
      <c r="H5" s="80">
        <f>SUMIF('手机&amp;平板保底版销售计划数量VS 实际出货'!A:A,B5,'手机&amp;平板保底版销售计划数量VS 实际出货'!L:L)</f>
        <v>873772</v>
      </c>
      <c r="I5" s="78">
        <f>SUMIF('手机&amp;平板保底版销售计划数量VS 实际出货'!A:A,B5,'手机&amp;平板保底版销售计划数量VS 实际出货'!M:M)</f>
        <v>1100000</v>
      </c>
      <c r="J5" s="78">
        <f>SUMIF('手机&amp;平板保底版销售计划数量VS 实际出货'!A:A,B5,'手机&amp;平板保底版销售计划数量VS 实际出货'!N:N)</f>
        <v>821378</v>
      </c>
      <c r="K5" s="81">
        <f>SUMIF('手机&amp;平板保底版销售计划数量VS 实际出货'!A:A,B5,'手机&amp;平板保底版销售计划数量VS 实际出货'!O:O)</f>
        <v>1270000</v>
      </c>
      <c r="L5" s="81">
        <f>SUMIF('手机&amp;平板保底版销售计划数量VS 实际出货'!A:A,B5,'手机&amp;平板保底版销售计划数量VS 实际出货'!P:P)</f>
        <v>1071490</v>
      </c>
      <c r="M5" s="82">
        <f>SUMIF('手机&amp;平板保底版销售计划数量VS 实际出货'!A:A,B5,'手机&amp;平板保底版销售计划数量VS 实际出货'!Q:Q)</f>
        <v>1250000</v>
      </c>
      <c r="N5" s="82">
        <f>SUMIF('手机&amp;平板保底版销售计划数量VS 实际出货'!A:A,B5,'手机&amp;平板保底版销售计划数量VS 实际出货'!R:R)</f>
        <v>723562</v>
      </c>
      <c r="O5" s="78">
        <f>SUMIF('手机&amp;平板保底版销售计划数量VS 实际出货'!A:A,B5,'手机&amp;平板保底版销售计划数量VS 实际出货'!S:S)</f>
        <v>1490000</v>
      </c>
      <c r="P5" s="78">
        <f>SUMIF('手机&amp;平板保底版销售计划数量VS 实际出货'!A:A,B5,'手机&amp;平板保底版销售计划数量VS 实际出货'!T:T)</f>
        <v>851544</v>
      </c>
      <c r="Q5" s="79">
        <f>SUMIF('手机&amp;平板保底版销售计划数量VS 实际出货'!A:A,B5,'手机&amp;平板保底版销售计划数量VS 实际出货'!U:U)</f>
        <v>1510000</v>
      </c>
      <c r="R5" s="79">
        <f>SUMIF('手机&amp;平板保底版销售计划数量VS 实际出货'!A:A,B5,'手机&amp;平板保底版销售计划数量VS 实际出货'!V:V)</f>
        <v>684702</v>
      </c>
      <c r="S5" s="80">
        <f>SUMIF('手机&amp;平板保底版销售计划数量VS 实际出货'!A:A,B5,'手机&amp;平板保底版销售计划数量VS 实际出货'!W:W)</f>
        <v>1560000</v>
      </c>
      <c r="T5" s="80">
        <f>SUMIF('手机&amp;平板保底版销售计划数量VS 实际出货'!A:A,B5,'手机&amp;平板保底版销售计划数量VS 实际出货'!X:X)</f>
        <v>1052450</v>
      </c>
      <c r="U5" s="78">
        <f>SUMIF('手机&amp;平板保底版销售计划数量VS 实际出货'!A:A,B5,'手机&amp;平板保底版销售计划数量VS 实际出货'!Y:Y)</f>
        <v>1560000</v>
      </c>
      <c r="V5" s="78">
        <f>SUMIF('手机&amp;平板保底版销售计划数量VS 实际出货'!A:A,B5,'手机&amp;平板保底版销售计划数量VS 实际出货'!Z:Z)</f>
        <v>1219616</v>
      </c>
      <c r="W5" s="79">
        <f>SUMIF('手机&amp;平板保底版销售计划数量VS 实际出货'!A:A,B5,'手机&amp;平板保底版销售计划数量VS 实际出货'!AA:AA)</f>
        <v>910000</v>
      </c>
      <c r="X5" s="79">
        <f>SUMIF('手机&amp;平板保底版销售计划数量VS 实际出货'!A:A,B5,'手机&amp;平板保底版销售计划数量VS 实际出货'!AB:AB)</f>
        <v>1426084</v>
      </c>
      <c r="Y5" s="80">
        <f>SUMIF('手机&amp;平板保底版销售计划数量VS 实际出货'!A:A,B5,'手机&amp;平板保底版销售计划数量VS 实际出货'!AC:AC)</f>
        <v>903000</v>
      </c>
      <c r="Z5" s="83">
        <f>SUMIF('手机&amp;平板保底版销售计划数量VS 实际出货'!A:A,B5,'手机&amp;平板保底版销售计划数量VS 实际出货'!AD:AD)</f>
        <v>1498019</v>
      </c>
      <c r="AA5" s="84">
        <f>C5+E5+G5+I5+K5+M5+O5+Q5+S5+U5+W5+Y5</f>
        <v>15413000</v>
      </c>
      <c r="AB5" s="84">
        <f>D5+F5+H5+J5+L5+N5+P5+R5+T5+V5+X5+Z5</f>
        <v>12726255</v>
      </c>
    </row>
    <row r="6" ht="13.85" spans="2:29">
      <c r="B6" s="77" t="s">
        <v>118</v>
      </c>
      <c r="C6" s="78">
        <f>SUMIF('手机&amp;平板保底版销售计划数量VS 实际出货'!A:A,B6,'手机&amp;平板保底版销售计划数量VS 实际出货'!G:G)</f>
        <v>411243</v>
      </c>
      <c r="D6" s="78">
        <f>SUMIF('手机&amp;平板保底版销售计划数量VS 实际出货'!A:A,B6,'手机&amp;平板保底版销售计划数量VS 实际出货'!H:H)</f>
        <v>376437</v>
      </c>
      <c r="E6" s="79">
        <f>SUMIF('手机&amp;平板保底版销售计划数量VS 实际出货'!A:A,B6,'手机&amp;平板保底版销售计划数量VS 实际出货'!I:I)</f>
        <v>233544</v>
      </c>
      <c r="F6" s="79">
        <f>SUMIF('手机&amp;平板保底版销售计划数量VS 实际出货'!A:A,B6,'手机&amp;平板保底版销售计划数量VS 实际出货'!J:J)</f>
        <v>288076</v>
      </c>
      <c r="G6" s="80">
        <f>SUMIF('手机&amp;平板保底版销售计划数量VS 实际出货'!A:A,B6,'手机&amp;平板保底版销售计划数量VS 实际出货'!K:K)</f>
        <v>422713</v>
      </c>
      <c r="H6" s="80">
        <f>SUMIF('手机&amp;平板保底版销售计划数量VS 实际出货'!A:A,B6,'手机&amp;平板保底版销售计划数量VS 实际出货'!L:L)</f>
        <v>359089</v>
      </c>
      <c r="I6" s="78">
        <f>SUMIF('手机&amp;平板保底版销售计划数量VS 实际出货'!A:A,B6,'手机&amp;平板保底版销售计划数量VS 实际出货'!M:M)</f>
        <v>219258</v>
      </c>
      <c r="J6" s="78">
        <f>SUMIF('手机&amp;平板保底版销售计划数量VS 实际出货'!A:A,B6,'手机&amp;平板保底版销售计划数量VS 实际出货'!N:N)</f>
        <v>294752</v>
      </c>
      <c r="K6" s="81">
        <f>SUMIF('手机&amp;平板保底版销售计划数量VS 实际出货'!A:A,B6,'手机&amp;平板保底版销售计划数量VS 实际出货'!O:O)</f>
        <v>750000</v>
      </c>
      <c r="L6" s="81">
        <f>SUMIF('手机&amp;平板保底版销售计划数量VS 实际出货'!A:A,B6,'手机&amp;平板保底版销售计划数量VS 实际出货'!P:P)</f>
        <v>509025</v>
      </c>
      <c r="M6" s="82">
        <f>SUMIF('手机&amp;平板保底版销售计划数量VS 实际出货'!A:A,B6,'手机&amp;平板保底版销售计划数量VS 实际出货'!Q:Q)</f>
        <v>650000</v>
      </c>
      <c r="N6" s="82">
        <f>SUMIF('手机&amp;平板保底版销售计划数量VS 实际出货'!A:A,B6,'手机&amp;平板保底版销售计划数量VS 实际出货'!R:R)</f>
        <v>541095</v>
      </c>
      <c r="O6" s="78">
        <f>SUMIF('手机&amp;平板保底版销售计划数量VS 实际出货'!A:A,B6,'手机&amp;平板保底版销售计划数量VS 实际出货'!S:S)</f>
        <v>850000</v>
      </c>
      <c r="P6" s="78">
        <f>SUMIF('手机&amp;平板保底版销售计划数量VS 实际出货'!A:A,B6,'手机&amp;平板保底版销售计划数量VS 实际出货'!T:T)</f>
        <v>608378</v>
      </c>
      <c r="Q6" s="79">
        <f>SUMIF('手机&amp;平板保底版销售计划数量VS 实际出货'!A:A,B6,'手机&amp;平板保底版销售计划数量VS 实际出货'!U:U)</f>
        <v>1050000</v>
      </c>
      <c r="R6" s="79">
        <f>SUMIF('手机&amp;平板保底版销售计划数量VS 实际出货'!A:A,B6,'手机&amp;平板保底版销售计划数量VS 实际出货'!V:V)</f>
        <v>576035</v>
      </c>
      <c r="S6" s="80">
        <f>SUMIF('手机&amp;平板保底版销售计划数量VS 实际出货'!A:A,B6,'手机&amp;平板保底版销售计划数量VS 实际出货'!W:W)</f>
        <v>967422</v>
      </c>
      <c r="T6" s="80">
        <f>SUMIF('手机&amp;平板保底版销售计划数量VS 实际出货'!A:A,B6,'手机&amp;平板保底版销售计划数量VS 实际出货'!X:X)</f>
        <v>952732</v>
      </c>
      <c r="U6" s="78">
        <f>SUMIF('手机&amp;平板保底版销售计划数量VS 实际出货'!A:A,B6,'手机&amp;平板保底版销售计划数量VS 实际出货'!Y:Y)</f>
        <v>950000</v>
      </c>
      <c r="V6" s="78">
        <f>SUMIF('手机&amp;平板保底版销售计划数量VS 实际出货'!A:A,B6,'手机&amp;平板保底版销售计划数量VS 实际出货'!Z:Z)</f>
        <v>621317</v>
      </c>
      <c r="W6" s="79">
        <f>SUMIF('手机&amp;平板保底版销售计划数量VS 实际出货'!A:A,B6,'手机&amp;平板保底版销售计划数量VS 实际出货'!AA:AA)</f>
        <v>800000</v>
      </c>
      <c r="X6" s="79">
        <f>SUMIF('手机&amp;平板保底版销售计划数量VS 实际出货'!A:A,B6,'手机&amp;平板保底版销售计划数量VS 实际出货'!AB:AB)</f>
        <v>728571</v>
      </c>
      <c r="Y6" s="80">
        <f>SUMIF('手机&amp;平板保底版销售计划数量VS 实际出货'!A:A,B6,'手机&amp;平板保底版销售计划数量VS 实际出货'!AC:AC)</f>
        <v>854050</v>
      </c>
      <c r="Z6" s="83">
        <f>SUMIF('手机&amp;平板保底版销售计划数量VS 实际出货'!A:A,B6,'手机&amp;平板保底版销售计划数量VS 实际出货'!AD:AD)</f>
        <v>815609</v>
      </c>
      <c r="AA6" s="84">
        <f t="shared" ref="AA6:AA11" si="0">C6+E6+G6+I6+K6+M6+O6+Q6+S6+U6+W6+Y6</f>
        <v>8158230</v>
      </c>
      <c r="AB6" s="84">
        <f t="shared" ref="AB6:AB11" si="1">D6+F6+H6+J6+L6+N6+P6+R6+T6+V6+X6+Z6</f>
        <v>6671116</v>
      </c>
    </row>
    <row r="7" ht="13.85" spans="2:29">
      <c r="B7" s="77" t="s">
        <v>102</v>
      </c>
      <c r="C7" s="78">
        <f>SUMIF('手机&amp;平板保底版销售计划数量VS 实际出货'!A:A,B7,'手机&amp;平板保底版销售计划数量VS 实际出货'!G:G)</f>
        <v>14140</v>
      </c>
      <c r="D7" s="78">
        <f>SUMIF('手机&amp;平板保底版销售计划数量VS 实际出货'!A:A,B7,'手机&amp;平板保底版销售计划数量VS 实际出货'!H:H)</f>
        <v>14140</v>
      </c>
      <c r="E7" s="79">
        <f>SUMIF('手机&amp;平板保底版销售计划数量VS 实际出货'!A:A,B7,'手机&amp;平板保底版销售计划数量VS 实际出货'!I:I)</f>
        <v>0</v>
      </c>
      <c r="F7" s="79">
        <f>SUMIF('手机&amp;平板保底版销售计划数量VS 实际出货'!A:A,B7,'手机&amp;平板保底版销售计划数量VS 实际出货'!J:J)</f>
        <v>0</v>
      </c>
      <c r="G7" s="80">
        <f>SUMIF('手机&amp;平板保底版销售计划数量VS 实际出货'!A:A,B7,'手机&amp;平板保底版销售计划数量VS 实际出货'!K:K)</f>
        <v>0</v>
      </c>
      <c r="H7" s="80">
        <f>SUMIF('手机&amp;平板保底版销售计划数量VS 实际出货'!A:A,B7,'手机&amp;平板保底版销售计划数量VS 实际出货'!L:L)</f>
        <v>0</v>
      </c>
      <c r="I7" s="78">
        <f>SUMIF('手机&amp;平板保底版销售计划数量VS 实际出货'!A:A,B7,'手机&amp;平板保底版销售计划数量VS 实际出货'!M:M)</f>
        <v>0</v>
      </c>
      <c r="J7" s="78">
        <f>SUMIF('手机&amp;平板保底版销售计划数量VS 实际出货'!A:A,B7,'手机&amp;平板保底版销售计划数量VS 实际出货'!N:N)</f>
        <v>0</v>
      </c>
      <c r="K7" s="81">
        <f>SUMIF('手机&amp;平板保底版销售计划数量VS 实际出货'!A:A,B7,'手机&amp;平板保底版销售计划数量VS 实际出货'!O:O)</f>
        <v>10000</v>
      </c>
      <c r="L7" s="81">
        <f>SUMIF('手机&amp;平板保底版销售计划数量VS 实际出货'!A:A,B7,'手机&amp;平板保底版销售计划数量VS 实际出货'!P:P)</f>
        <v>0</v>
      </c>
      <c r="M7" s="82">
        <f>SUMIF('手机&amp;平板保底版销售计划数量VS 实际出货'!A:A,B7,'手机&amp;平板保底版销售计划数量VS 实际出货'!Q:Q)</f>
        <v>20000</v>
      </c>
      <c r="N7" s="82">
        <f>SUMIF('手机&amp;平板保底版销售计划数量VS 实际出货'!A:A,B7,'手机&amp;平板保底版销售计划数量VS 实际出货'!R:R)</f>
        <v>0</v>
      </c>
      <c r="O7" s="78">
        <f>SUMIF('手机&amp;平板保底版销售计划数量VS 实际出货'!A:A,B7,'手机&amp;平板保底版销售计划数量VS 实际出货'!S:S)</f>
        <v>20000</v>
      </c>
      <c r="P7" s="78">
        <f>SUMIF('手机&amp;平板保底版销售计划数量VS 实际出货'!A:A,B7,'手机&amp;平板保底版销售计划数量VS 实际出货'!T:T)</f>
        <v>0</v>
      </c>
      <c r="Q7" s="79">
        <f>SUMIF('手机&amp;平板保底版销售计划数量VS 实际出货'!A:A,B7,'手机&amp;平板保底版销售计划数量VS 实际出货'!U:U)</f>
        <v>10000</v>
      </c>
      <c r="R7" s="79">
        <f>SUMIF('手机&amp;平板保底版销售计划数量VS 实际出货'!A:A,B7,'手机&amp;平板保底版销售计划数量VS 实际出货'!V:V)</f>
        <v>0</v>
      </c>
      <c r="S7" s="80">
        <f>SUMIF('手机&amp;平板保底版销售计划数量VS 实际出货'!A:A,B7,'手机&amp;平板保底版销售计划数量VS 实际出货'!W:W)</f>
        <v>20000</v>
      </c>
      <c r="T7" s="80">
        <f>SUMIF('手机&amp;平板保底版销售计划数量VS 实际出货'!A:A,B7,'手机&amp;平板保底版销售计划数量VS 实际出货'!X:X)</f>
        <v>0</v>
      </c>
      <c r="U7" s="78">
        <f>SUMIF('手机&amp;平板保底版销售计划数量VS 实际出货'!A:A,B7,'手机&amp;平板保底版销售计划数量VS 实际出货'!Y:Y)</f>
        <v>10000</v>
      </c>
      <c r="V7" s="78">
        <f>SUMIF('手机&amp;平板保底版销售计划数量VS 实际出货'!A:A,B7,'手机&amp;平板保底版销售计划数量VS 实际出货'!Z:Z)</f>
        <v>0</v>
      </c>
      <c r="W7" s="79">
        <f>SUMIF('手机&amp;平板保底版销售计划数量VS 实际出货'!A:A,B7,'手机&amp;平板保底版销售计划数量VS 实际出货'!AA:AA)</f>
        <v>20000</v>
      </c>
      <c r="X7" s="79">
        <f>SUMIF('手机&amp;平板保底版销售计划数量VS 实际出货'!A:A,B7,'手机&amp;平板保底版销售计划数量VS 实际出货'!AB:AB)</f>
        <v>5050</v>
      </c>
      <c r="Y7" s="80">
        <f>SUMIF('手机&amp;平板保底版销售计划数量VS 实际出货'!A:A,B7,'手机&amp;平板保底版销售计划数量VS 实际出货'!AC:AC)</f>
        <v>10000</v>
      </c>
      <c r="Z7" s="83">
        <f>SUMIF('手机&amp;平板保底版销售计划数量VS 实际出货'!A:A,B7,'手机&amp;平板保底版销售计划数量VS 实际出货'!AD:AD)</f>
        <v>5050</v>
      </c>
      <c r="AA7" s="84">
        <f t="shared" si="0"/>
        <v>134140</v>
      </c>
      <c r="AB7" s="84">
        <f t="shared" si="1"/>
        <v>24240</v>
      </c>
    </row>
    <row r="8" ht="13.85" spans="2:29">
      <c r="B8" s="77" t="s">
        <v>52</v>
      </c>
      <c r="C8" s="78">
        <f>SUMIF('手机&amp;平板保底版销售计划数量VS 实际出货'!A:A,B8,'手机&amp;平板保底版销售计划数量VS 实际出货'!G:G)</f>
        <v>0</v>
      </c>
      <c r="D8" s="78">
        <f>SUMIF('手机&amp;平板保底版销售计划数量VS 实际出货'!A:A,B8,'手机&amp;平板保底版销售计划数量VS 实际出货'!H:H)</f>
        <v>0</v>
      </c>
      <c r="E8" s="79">
        <f>SUMIF('手机&amp;平板保底版销售计划数量VS 实际出货'!A:A,B8,'手机&amp;平板保底版销售计划数量VS 实际出货'!I:I)</f>
        <v>0</v>
      </c>
      <c r="F8" s="79">
        <f>SUMIF('手机&amp;平板保底版销售计划数量VS 实际出货'!A:A,B8,'手机&amp;平板保底版销售计划数量VS 实际出货'!J:J)</f>
        <v>0</v>
      </c>
      <c r="G8" s="80">
        <f>SUMIF('手机&amp;平板保底版销售计划数量VS 实际出货'!A:A,B8,'手机&amp;平板保底版销售计划数量VS 实际出货'!K:K)</f>
        <v>40000</v>
      </c>
      <c r="H8" s="80">
        <f>SUMIF('手机&amp;平板保底版销售计划数量VS 实际出货'!A:A,B8,'手机&amp;平板保底版销售计划数量VS 实际出货'!L:L)</f>
        <v>20000</v>
      </c>
      <c r="I8" s="78">
        <f>SUMIF('手机&amp;平板保底版销售计划数量VS 实际出货'!A:A,B8,'手机&amp;平板保底版销售计划数量VS 实际出货'!M:M)</f>
        <v>10000</v>
      </c>
      <c r="J8" s="78">
        <f>SUMIF('手机&amp;平板保底版销售计划数量VS 实际出货'!A:A,B8,'手机&amp;平板保底版销售计划数量VS 实际出货'!N:N)</f>
        <v>10000</v>
      </c>
      <c r="K8" s="81">
        <f>SUMIF('手机&amp;平板保底版销售计划数量VS 实际出货'!A:A,B8,'手机&amp;平板保底版销售计划数量VS 实际出货'!O:O)</f>
        <v>0</v>
      </c>
      <c r="L8" s="81">
        <f>SUMIF('手机&amp;平板保底版销售计划数量VS 实际出货'!A:A,B8,'手机&amp;平板保底版销售计划数量VS 实际出货'!P:P)</f>
        <v>0</v>
      </c>
      <c r="M8" s="82">
        <f>SUMIF('手机&amp;平板保底版销售计划数量VS 实际出货'!A:A,B8,'手机&amp;平板保底版销售计划数量VS 实际出货'!Q:Q)</f>
        <v>20000</v>
      </c>
      <c r="N8" s="82">
        <f>SUMIF('手机&amp;平板保底版销售计划数量VS 实际出货'!A:A,B8,'手机&amp;平板保底版销售计划数量VS 实际出货'!R:R)</f>
        <v>0</v>
      </c>
      <c r="O8" s="78">
        <f>SUMIF('手机&amp;平板保底版销售计划数量VS 实际出货'!A:A,B8,'手机&amp;平板保底版销售计划数量VS 实际出货'!S:S)</f>
        <v>20000</v>
      </c>
      <c r="P8" s="78">
        <f>SUMIF('手机&amp;平板保底版销售计划数量VS 实际出货'!A:A,B8,'手机&amp;平板保底版销售计划数量VS 实际出货'!T:T)</f>
        <v>0</v>
      </c>
      <c r="Q8" s="79">
        <f>SUMIF('手机&amp;平板保底版销售计划数量VS 实际出货'!A:A,B8,'手机&amp;平板保底版销售计划数量VS 实际出货'!U:U)</f>
        <v>30000</v>
      </c>
      <c r="R8" s="79">
        <f>SUMIF('手机&amp;平板保底版销售计划数量VS 实际出货'!A:A,B8,'手机&amp;平板保底版销售计划数量VS 实际出货'!V:V)</f>
        <v>0</v>
      </c>
      <c r="S8" s="80">
        <f>SUMIF('手机&amp;平板保底版销售计划数量VS 实际出货'!A:A,B8,'手机&amp;平板保底版销售计划数量VS 实际出货'!W:W)</f>
        <v>0</v>
      </c>
      <c r="T8" s="80">
        <f>SUMIF('手机&amp;平板保底版销售计划数量VS 实际出货'!A:A,B8,'手机&amp;平板保底版销售计划数量VS 实际出货'!X:X)</f>
        <v>0</v>
      </c>
      <c r="U8" s="78">
        <f>SUMIF('手机&amp;平板保底版销售计划数量VS 实际出货'!A:A,B8,'手机&amp;平板保底版销售计划数量VS 实际出货'!Y:Y)</f>
        <v>20000</v>
      </c>
      <c r="V8" s="78">
        <f>SUMIF('手机&amp;平板保底版销售计划数量VS 实际出货'!A:A,B8,'手机&amp;平板保底版销售计划数量VS 实际出货'!Z:Z)</f>
        <v>0</v>
      </c>
      <c r="W8" s="79">
        <f>SUMIF('手机&amp;平板保底版销售计划数量VS 实际出货'!A:A,B8,'手机&amp;平板保底版销售计划数量VS 实际出货'!AA:AA)</f>
        <v>0</v>
      </c>
      <c r="X8" s="79">
        <f>SUMIF('手机&amp;平板保底版销售计划数量VS 实际出货'!A:A,B8,'手机&amp;平板保底版销售计划数量VS 实际出货'!AB:AB)</f>
        <v>0</v>
      </c>
      <c r="Y8" s="80">
        <f>SUMIF('手机&amp;平板保底版销售计划数量VS 实际出货'!A:A,B8,'手机&amp;平板保底版销售计划数量VS 实际出货'!AC:AC)</f>
        <v>10000</v>
      </c>
      <c r="Z8" s="83">
        <f>SUMIF('手机&amp;平板保底版销售计划数量VS 实际出货'!A:A,B8,'手机&amp;平板保底版销售计划数量VS 实际出货'!AD:AD)</f>
        <v>0</v>
      </c>
      <c r="AA8" s="84">
        <f t="shared" si="0"/>
        <v>150000</v>
      </c>
      <c r="AB8" s="84">
        <f t="shared" si="1"/>
        <v>30000</v>
      </c>
    </row>
    <row r="9" ht="13.85" spans="2:29">
      <c r="B9" s="85" t="s">
        <v>71</v>
      </c>
      <c r="C9" s="78">
        <f>SUMIF('手机&amp;平板保底版销售计划数量VS 实际出货'!A:A,B9,'手机&amp;平板保底版销售计划数量VS 实际出货'!G:G)</f>
        <v>26000</v>
      </c>
      <c r="D9" s="78">
        <f>SUMIF('手机&amp;平板保底版销售计划数量VS 实际出货'!A:A,B9,'手机&amp;平板保底版销售计划数量VS 实际出货'!H:H)</f>
        <v>25980</v>
      </c>
      <c r="E9" s="79">
        <f>SUMIF('手机&amp;平板保底版销售计划数量VS 实际出货'!A:A,B9,'手机&amp;平板保底版销售计划数量VS 实际出货'!I:I)</f>
        <v>24000</v>
      </c>
      <c r="F9" s="79">
        <f>SUMIF('手机&amp;平板保底版销售计划数量VS 实际出货'!A:A,B9,'手机&amp;平板保底版销售计划数量VS 实际出货'!J:J)</f>
        <v>0</v>
      </c>
      <c r="G9" s="80">
        <f>SUMIF('手机&amp;平板保底版销售计划数量VS 实际出货'!A:A,B9,'手机&amp;平板保底版销售计划数量VS 实际出货'!K:K)</f>
        <v>0</v>
      </c>
      <c r="H9" s="80">
        <f>SUMIF('手机&amp;平板保底版销售计划数量VS 实际出货'!A:A,B9,'手机&amp;平板保底版销售计划数量VS 实际出货'!L:L)</f>
        <v>24020</v>
      </c>
      <c r="I9" s="78">
        <f>SUMIF('手机&amp;平板保底版销售计划数量VS 实际出货'!A:A,B9,'手机&amp;平板保底版销售计划数量VS 实际出货'!M:M)</f>
        <v>0</v>
      </c>
      <c r="J9" s="78">
        <f>SUMIF('手机&amp;平板保底版销售计划数量VS 实际出货'!A:A,B9,'手机&amp;平板保底版销售计划数量VS 实际出货'!N:N)</f>
        <v>0</v>
      </c>
      <c r="K9" s="81">
        <f>SUMIF('手机&amp;平板保底版销售计划数量VS 实际出货'!A:A,B9,'手机&amp;平板保底版销售计划数量VS 实际出货'!O:O)</f>
        <v>20000</v>
      </c>
      <c r="L9" s="81">
        <f>SUMIF('手机&amp;平板保底版销售计划数量VS 实际出货'!A:A,B9,'手机&amp;平板保底版销售计划数量VS 实际出货'!P:P)</f>
        <v>41000</v>
      </c>
      <c r="M9" s="82">
        <f>SUMIF('手机&amp;平板保底版销售计划数量VS 实际出货'!A:A,B9,'手机&amp;平板保底版销售计划数量VS 实际出货'!Q:Q)</f>
        <v>20000</v>
      </c>
      <c r="N9" s="82">
        <f>SUMIF('手机&amp;平板保底版销售计划数量VS 实际出货'!A:A,B9,'手机&amp;平板保底版销售计划数量VS 实际出货'!R:R)</f>
        <v>30000</v>
      </c>
      <c r="O9" s="78">
        <f>SUMIF('手机&amp;平板保底版销售计划数量VS 实际出货'!A:A,B9,'手机&amp;平板保底版销售计划数量VS 实际出货'!S:S)</f>
        <v>10000</v>
      </c>
      <c r="P9" s="78">
        <f>SUMIF('手机&amp;平板保底版销售计划数量VS 实际出货'!A:A,B9,'手机&amp;平板保底版销售计划数量VS 实际出货'!T:T)</f>
        <v>70000</v>
      </c>
      <c r="Q9" s="79">
        <f>SUMIF('手机&amp;平板保底版销售计划数量VS 实际出货'!A:A,B9,'手机&amp;平板保底版销售计划数量VS 实际出货'!U:U)</f>
        <v>20000</v>
      </c>
      <c r="R9" s="79">
        <f>SUMIF('手机&amp;平板保底版销售计划数量VS 实际出货'!A:A,B9,'手机&amp;平板保底版销售计划数量VS 实际出货'!V:V)</f>
        <v>20000</v>
      </c>
      <c r="S9" s="80">
        <f>SUMIF('手机&amp;平板保底版销售计划数量VS 实际出货'!A:A,B9,'手机&amp;平板保底版销售计划数量VS 实际出货'!W:W)</f>
        <v>10000</v>
      </c>
      <c r="T9" s="80">
        <f>SUMIF('手机&amp;平板保底版销售计划数量VS 实际出货'!A:A,B9,'手机&amp;平板保底版销售计划数量VS 实际出货'!X:X)</f>
        <v>10000</v>
      </c>
      <c r="U9" s="78">
        <f>SUMIF('手机&amp;平板保底版销售计划数量VS 实际出货'!A:A,B9,'手机&amp;平板保底版销售计划数量VS 实际出货'!Y:Y)</f>
        <v>10000</v>
      </c>
      <c r="V9" s="78">
        <f>SUMIF('手机&amp;平板保底版销售计划数量VS 实际出货'!A:A,B9,'手机&amp;平板保底版销售计划数量VS 实际出货'!Z:Z)</f>
        <v>50000</v>
      </c>
      <c r="W9" s="79">
        <f>SUMIF('手机&amp;平板保底版销售计划数量VS 实际出货'!A:A,B9,'手机&amp;平板保底版销售计划数量VS 实际出货'!AA:AA)</f>
        <v>0</v>
      </c>
      <c r="X9" s="79">
        <f>SUMIF('手机&amp;平板保底版销售计划数量VS 实际出货'!A:A,B9,'手机&amp;平板保底版销售计划数量VS 实际出货'!AB:AB)</f>
        <v>45000</v>
      </c>
      <c r="Y9" s="80">
        <f>SUMIF('手机&amp;平板保底版销售计划数量VS 实际出货'!A:A,B9,'手机&amp;平板保底版销售计划数量VS 实际出货'!AC:AC)</f>
        <v>10000</v>
      </c>
      <c r="Z9" s="83">
        <f>SUMIF('手机&amp;平板保底版销售计划数量VS 实际出货'!A:A,B9,'手机&amp;平板保底版销售计划数量VS 实际出货'!AD:AD)</f>
        <v>30000</v>
      </c>
      <c r="AA9" s="84">
        <f t="shared" si="0"/>
        <v>150000</v>
      </c>
      <c r="AB9" s="84">
        <f t="shared" si="1"/>
        <v>346000</v>
      </c>
    </row>
    <row r="10" ht="13.85" spans="2:29">
      <c r="B10" s="77" t="s">
        <v>182</v>
      </c>
      <c r="C10" s="78">
        <f>SUMIF('手机&amp;平板保底版销售计划数量VS 实际出货'!A:A,B10,'手机&amp;平板保底版销售计划数量VS 实际出货'!G:G)</f>
        <v>0</v>
      </c>
      <c r="D10" s="78">
        <f>SUMIF('手机&amp;平板保底版销售计划数量VS 实际出货'!A:A,B10,'手机&amp;平板保底版销售计划数量VS 实际出货'!H:H)</f>
        <v>5000</v>
      </c>
      <c r="E10" s="79">
        <f>SUMIF('手机&amp;平板保底版销售计划数量VS 实际出货'!A:A,B10,'手机&amp;平板保底版销售计划数量VS 实际出货'!I:I)</f>
        <v>5000</v>
      </c>
      <c r="F10" s="79">
        <f>SUMIF('手机&amp;平板保底版销售计划数量VS 实际出货'!A:A,B10,'手机&amp;平板保底版销售计划数量VS 实际出货'!J:J)</f>
        <v>5000</v>
      </c>
      <c r="G10" s="80">
        <f>SUMIF('手机&amp;平板保底版销售计划数量VS 实际出货'!A:A,B10,'手机&amp;平板保底版销售计划数量VS 实际出货'!K:K)</f>
        <v>5000</v>
      </c>
      <c r="H10" s="80">
        <f>SUMIF('手机&amp;平板保底版销售计划数量VS 实际出货'!A:A,B10,'手机&amp;平板保底版销售计划数量VS 实际出货'!L:L)</f>
        <v>0</v>
      </c>
      <c r="I10" s="78">
        <f>SUMIF('手机&amp;平板保底版销售计划数量VS 实际出货'!A:A,B10,'手机&amp;平板保底版销售计划数量VS 实际出货'!M:M)</f>
        <v>0</v>
      </c>
      <c r="J10" s="78">
        <f>SUMIF('手机&amp;平板保底版销售计划数量VS 实际出货'!A:A,B10,'手机&amp;平板保底版销售计划数量VS 实际出货'!N:N)</f>
        <v>0</v>
      </c>
      <c r="K10" s="81">
        <f>SUMIF('手机&amp;平板保底版销售计划数量VS 实际出货'!A:A,B10,'手机&amp;平板保底版销售计划数量VS 实际出货'!O:O)</f>
        <v>0</v>
      </c>
      <c r="L10" s="81">
        <f>SUMIF('手机&amp;平板保底版销售计划数量VS 实际出货'!A:A,B10,'手机&amp;平板保底版销售计划数量VS 实际出货'!P:P)</f>
        <v>0</v>
      </c>
      <c r="M10" s="82">
        <f>SUMIF('手机&amp;平板保底版销售计划数量VS 实际出货'!A:A,B10,'手机&amp;平板保底版销售计划数量VS 实际出货'!Q:Q)</f>
        <v>0</v>
      </c>
      <c r="N10" s="82">
        <f>SUMIF('手机&amp;平板保底版销售计划数量VS 实际出货'!A:A,B10,'手机&amp;平板保底版销售计划数量VS 实际出货'!R:R)</f>
        <v>0</v>
      </c>
      <c r="O10" s="78">
        <f>SUMIF('手机&amp;平板保底版销售计划数量VS 实际出货'!A:A,B10,'手机&amp;平板保底版销售计划数量VS 实际出货'!S:S)</f>
        <v>0</v>
      </c>
      <c r="P10" s="78">
        <f>SUMIF('手机&amp;平板保底版销售计划数量VS 实际出货'!A:A,B10,'手机&amp;平板保底版销售计划数量VS 实际出货'!T:T)</f>
        <v>0</v>
      </c>
      <c r="Q10" s="79">
        <f>SUMIF('手机&amp;平板保底版销售计划数量VS 实际出货'!A:A,B10,'手机&amp;平板保底版销售计划数量VS 实际出货'!U:U)</f>
        <v>0</v>
      </c>
      <c r="R10" s="79">
        <f>SUMIF('手机&amp;平板保底版销售计划数量VS 实际出货'!A:A,B10,'手机&amp;平板保底版销售计划数量VS 实际出货'!V:V)</f>
        <v>0</v>
      </c>
      <c r="S10" s="80">
        <f>SUMIF('手机&amp;平板保底版销售计划数量VS 实际出货'!A:A,B10,'手机&amp;平板保底版销售计划数量VS 实际出货'!W:W)</f>
        <v>0</v>
      </c>
      <c r="T10" s="80">
        <f>SUMIF('手机&amp;平板保底版销售计划数量VS 实际出货'!A:A,B10,'手机&amp;平板保底版销售计划数量VS 实际出货'!X:X)</f>
        <v>0</v>
      </c>
      <c r="U10" s="78">
        <f>SUMIF('手机&amp;平板保底版销售计划数量VS 实际出货'!A:A,B10,'手机&amp;平板保底版销售计划数量VS 实际出货'!Y:Y)</f>
        <v>0</v>
      </c>
      <c r="V10" s="78">
        <f>SUMIF('手机&amp;平板保底版销售计划数量VS 实际出货'!A:A,B10,'手机&amp;平板保底版销售计划数量VS 实际出货'!Z:Z)</f>
        <v>0</v>
      </c>
      <c r="W10" s="79">
        <f>SUMIF('手机&amp;平板保底版销售计划数量VS 实际出货'!A:A,B10,'手机&amp;平板保底版销售计划数量VS 实际出货'!AA:AA)</f>
        <v>0</v>
      </c>
      <c r="X10" s="79">
        <f>SUMIF('手机&amp;平板保底版销售计划数量VS 实际出货'!A:A,B10,'手机&amp;平板保底版销售计划数量VS 实际出货'!AB:AB)</f>
        <v>10000</v>
      </c>
      <c r="Y10" s="80">
        <f>SUMIF('手机&amp;平板保底版销售计划数量VS 实际出货'!A:A,B10,'手机&amp;平板保底版销售计划数量VS 实际出货'!AC:AC)</f>
        <v>0</v>
      </c>
      <c r="Z10" s="83">
        <f>SUMIF('手机&amp;平板保底版销售计划数量VS 实际出货'!A:A,B10,'手机&amp;平板保底版销售计划数量VS 实际出货'!AD:AD)</f>
        <v>0</v>
      </c>
      <c r="AA10" s="84">
        <f t="shared" si="0"/>
        <v>10000</v>
      </c>
      <c r="AB10" s="84">
        <f t="shared" si="1"/>
        <v>20000</v>
      </c>
    </row>
    <row r="11" ht="13.85" spans="2:29">
      <c r="B11" s="77" t="s">
        <v>158</v>
      </c>
      <c r="C11" s="78">
        <f>SUMIF('手机&amp;平板保底版销售计划数量VS 实际出货'!A:A,B11,'手机&amp;平板保底版销售计划数量VS 实际出货'!G:G)</f>
        <v>0</v>
      </c>
      <c r="D11" s="78">
        <f>SUMIF('手机&amp;平板保底版销售计划数量VS 实际出货'!A:A,B11,'手机&amp;平板保底版销售计划数量VS 实际出货'!H:H)</f>
        <v>0</v>
      </c>
      <c r="E11" s="79">
        <f>SUMIF('手机&amp;平板保底版销售计划数量VS 实际出货'!A:A,B11,'手机&amp;平板保底版销售计划数量VS 实际出货'!I:I)</f>
        <v>0</v>
      </c>
      <c r="F11" s="79">
        <f>SUMIF('手机&amp;平板保底版销售计划数量VS 实际出货'!A:A,B11,'手机&amp;平板保底版销售计划数量VS 实际出货'!J:J)</f>
        <v>0</v>
      </c>
      <c r="G11" s="80">
        <f>SUMIF('手机&amp;平板保底版销售计划数量VS 实际出货'!A:A,B11,'手机&amp;平板保底版销售计划数量VS 实际出货'!K:K)</f>
        <v>10000</v>
      </c>
      <c r="H11" s="80">
        <f>SUMIF('手机&amp;平板保底版销售计划数量VS 实际出货'!A:A,B11,'手机&amp;平板保底版销售计划数量VS 实际出货'!L:L)</f>
        <v>0</v>
      </c>
      <c r="I11" s="78">
        <f>SUMIF('手机&amp;平板保底版销售计划数量VS 实际出货'!A:A,B11,'手机&amp;平板保底版销售计划数量VS 实际出货'!M:M)</f>
        <v>0</v>
      </c>
      <c r="J11" s="78">
        <f>SUMIF('手机&amp;平板保底版销售计划数量VS 实际出货'!A:A,B11,'手机&amp;平板保底版销售计划数量VS 实际出货'!N:N)</f>
        <v>10000</v>
      </c>
      <c r="K11" s="81">
        <f>SUMIF('手机&amp;平板保底版销售计划数量VS 实际出货'!A:A,B11,'手机&amp;平板保底版销售计划数量VS 实际出货'!O:O)</f>
        <v>10000</v>
      </c>
      <c r="L11" s="81">
        <f>SUMIF('手机&amp;平板保底版销售计划数量VS 实际出货'!A:A,B11,'手机&amp;平板保底版销售计划数量VS 实际出货'!P:P)</f>
        <v>0</v>
      </c>
      <c r="M11" s="82">
        <f>SUMIF('手机&amp;平板保底版销售计划数量VS 实际出货'!A:A,B11,'手机&amp;平板保底版销售计划数量VS 实际出货'!Q:Q)</f>
        <v>0</v>
      </c>
      <c r="N11" s="82">
        <f>SUMIF('手机&amp;平板保底版销售计划数量VS 实际出货'!A:A,B11,'手机&amp;平板保底版销售计划数量VS 实际出货'!R:R)</f>
        <v>10000</v>
      </c>
      <c r="O11" s="78">
        <f>SUMIF('手机&amp;平板保底版销售计划数量VS 实际出货'!A:A,B11,'手机&amp;平板保底版销售计划数量VS 实际出货'!S:S)</f>
        <v>10000</v>
      </c>
      <c r="P11" s="78">
        <f>SUMIF('手机&amp;平板保底版销售计划数量VS 实际出货'!A:A,B11,'手机&amp;平板保底版销售计划数量VS 实际出货'!T:T)</f>
        <v>20000</v>
      </c>
      <c r="Q11" s="79">
        <f>SUMIF('手机&amp;平板保底版销售计划数量VS 实际出货'!A:A,B11,'手机&amp;平板保底版销售计划数量VS 实际出货'!U:U)</f>
        <v>10000</v>
      </c>
      <c r="R11" s="79">
        <f>SUMIF('手机&amp;平板保底版销售计划数量VS 实际出货'!A:A,B11,'手机&amp;平板保底版销售计划数量VS 实际出货'!V:V)</f>
        <v>10000</v>
      </c>
      <c r="S11" s="80">
        <f>SUMIF('手机&amp;平板保底版销售计划数量VS 实际出货'!A:A,B11,'手机&amp;平板保底版销售计划数量VS 实际出货'!W:W)</f>
        <v>10000</v>
      </c>
      <c r="T11" s="80">
        <f>SUMIF('手机&amp;平板保底版销售计划数量VS 实际出货'!A:A,B11,'手机&amp;平板保底版销售计划数量VS 实际出货'!X:X)</f>
        <v>20000</v>
      </c>
      <c r="U11" s="78">
        <f>SUMIF('手机&amp;平板保底版销售计划数量VS 实际出货'!A:A,B11,'手机&amp;平板保底版销售计划数量VS 实际出货'!Y:Y)</f>
        <v>10000</v>
      </c>
      <c r="V11" s="78">
        <f>SUMIF('手机&amp;平板保底版销售计划数量VS 实际出货'!A:A,B11,'手机&amp;平板保底版销售计划数量VS 实际出货'!Z:Z)</f>
        <v>0</v>
      </c>
      <c r="W11" s="79">
        <f>SUMIF('手机&amp;平板保底版销售计划数量VS 实际出货'!A:A,B11,'手机&amp;平板保底版销售计划数量VS 实际出货'!AA:AA)</f>
        <v>0</v>
      </c>
      <c r="X11" s="79">
        <f>SUMIF('手机&amp;平板保底版销售计划数量VS 实际出货'!A:A,B11,'手机&amp;平板保底版销售计划数量VS 实际出货'!AB:AB)</f>
        <v>0</v>
      </c>
      <c r="Y11" s="80">
        <f>SUMIF('手机&amp;平板保底版销售计划数量VS 实际出货'!A:A,B11,'手机&amp;平板保底版销售计划数量VS 实际出货'!AC:AC)</f>
        <v>10000</v>
      </c>
      <c r="Z11" s="83">
        <f>SUMIF('手机&amp;平板保底版销售计划数量VS 实际出货'!A:A,B11,'手机&amp;平板保底版销售计划数量VS 实际出货'!AD:AD)</f>
        <v>0</v>
      </c>
      <c r="AA11" s="84">
        <f t="shared" si="0"/>
        <v>70000</v>
      </c>
      <c r="AB11" s="84">
        <f t="shared" si="1"/>
        <v>70000</v>
      </c>
    </row>
    <row r="12" ht="13.85" spans="2:29">
      <c r="B12" s="77" t="s">
        <v>96</v>
      </c>
      <c r="C12" s="78">
        <f>SUMIF('手机&amp;平板保底版销售计划数量VS 实际出货'!A:A,B12,'手机&amp;平板保底版销售计划数量VS 实际出货'!G:G)</f>
        <v>30000</v>
      </c>
      <c r="D12" s="78">
        <f>SUMIF('手机&amp;平板保底版销售计划数量VS 实际出货'!A:A,B12,'手机&amp;平板保底版销售计划数量VS 实际出货'!H:H)</f>
        <v>30800</v>
      </c>
      <c r="E12" s="79">
        <f>SUMIF('手机&amp;平板保底版销售计划数量VS 实际出货'!A:A,B12,'手机&amp;平板保底版销售计划数量VS 实际出货'!I:I)</f>
        <v>0</v>
      </c>
      <c r="F12" s="79">
        <f>SUMIF('手机&amp;平板保底版销售计划数量VS 实际出货'!A:A,B12,'手机&amp;平板保底版销售计划数量VS 实际出货'!J:J)</f>
        <v>0</v>
      </c>
      <c r="G12" s="80">
        <f>SUMIF('手机&amp;平板保底版销售计划数量VS 实际出货'!A:A,B12,'手机&amp;平板保底版销售计划数量VS 实际出货'!K:K)</f>
        <v>32500</v>
      </c>
      <c r="H12" s="80">
        <f>SUMIF('手机&amp;平板保底版销售计划数量VS 实际出货'!A:A,B12,'手机&amp;平板保底版销售计划数量VS 实际出货'!L:L)</f>
        <v>32500</v>
      </c>
      <c r="I12" s="78">
        <f>SUMIF('手机&amp;平板保底版销售计划数量VS 实际出货'!A:A,B12,'手机&amp;平板保底版销售计划数量VS 实际出货'!M:M)</f>
        <v>0</v>
      </c>
      <c r="J12" s="78">
        <f>SUMIF('手机&amp;平板保底版销售计划数量VS 实际出货'!A:A,B12,'手机&amp;平板保底版销售计划数量VS 实际出货'!N:N)</f>
        <v>20000</v>
      </c>
      <c r="K12" s="81">
        <f>SUMIF('手机&amp;平板保底版销售计划数量VS 实际出货'!A:A,B12,'手机&amp;平板保底版销售计划数量VS 实际出货'!O:O)</f>
        <v>40000</v>
      </c>
      <c r="L12" s="81">
        <f>SUMIF('手机&amp;平板保底版销售计划数量VS 实际出货'!A:A,B12,'手机&amp;平板保底版销售计划数量VS 实际出货'!P:P)</f>
        <v>15000</v>
      </c>
      <c r="M12" s="82">
        <f>SUMIF('手机&amp;平板保底版销售计划数量VS 实际出货'!A:A,B12,'手机&amp;平板保底版销售计划数量VS 实际出货'!Q:Q)</f>
        <v>0</v>
      </c>
      <c r="N12" s="82">
        <f>SUMIF('手机&amp;平板保底版销售计划数量VS 实际出货'!A:A,B12,'手机&amp;平板保底版销售计划数量VS 实际出货'!R:R)</f>
        <v>35000</v>
      </c>
      <c r="O12" s="78">
        <f>SUMIF('手机&amp;平板保底版销售计划数量VS 实际出货'!A:A,B12,'手机&amp;平板保底版销售计划数量VS 实际出货'!S:S)</f>
        <v>40000</v>
      </c>
      <c r="P12" s="78">
        <f>SUMIF('手机&amp;平板保底版销售计划数量VS 实际出货'!A:A,B12,'手机&amp;平板保底版销售计划数量VS 实际出货'!T:T)</f>
        <v>0</v>
      </c>
      <c r="Q12" s="79">
        <f>SUMIF('手机&amp;平板保底版销售计划数量VS 实际出货'!A:A,B12,'手机&amp;平板保底版销售计划数量VS 实际出货'!U:U)</f>
        <v>0</v>
      </c>
      <c r="R12" s="79">
        <f>SUMIF('手机&amp;平板保底版销售计划数量VS 实际出货'!A:A,B12,'手机&amp;平板保底版销售计划数量VS 实际出货'!V:V)</f>
        <v>0</v>
      </c>
      <c r="S12" s="80">
        <f>SUMIF('手机&amp;平板保底版销售计划数量VS 实际出货'!A:A,B12,'手机&amp;平板保底版销售计划数量VS 实际出货'!W:W)</f>
        <v>10000</v>
      </c>
      <c r="T12" s="80">
        <f>SUMIF('手机&amp;平板保底版销售计划数量VS 实际出货'!A:A,B12,'手机&amp;平板保底版销售计划数量VS 实际出货'!X:X)</f>
        <v>0</v>
      </c>
      <c r="U12" s="78">
        <f>SUMIF('手机&amp;平板保底版销售计划数量VS 实际出货'!A:A,B12,'手机&amp;平板保底版销售计划数量VS 实际出货'!Y:Y)</f>
        <v>0</v>
      </c>
      <c r="V12" s="78">
        <f>SUMIF('手机&amp;平板保底版销售计划数量VS 实际出货'!A:A,B12,'手机&amp;平板保底版销售计划数量VS 实际出货'!Z:Z)</f>
        <v>0</v>
      </c>
      <c r="W12" s="79">
        <f>SUMIF('手机&amp;平板保底版销售计划数量VS 实际出货'!A:A,B12,'手机&amp;平板保底版销售计划数量VS 实际出货'!AA:AA)</f>
        <v>0</v>
      </c>
      <c r="X12" s="79">
        <f>SUMIF('手机&amp;平板保底版销售计划数量VS 实际出货'!A:A,B12,'手机&amp;平板保底版销售计划数量VS 实际出货'!AB:AB)</f>
        <v>0</v>
      </c>
      <c r="Y12" s="80">
        <f>SUMIF('手机&amp;平板保底版销售计划数量VS 实际出货'!A:A,B12,'手机&amp;平板保底版销售计划数量VS 实际出货'!AC:AC)</f>
        <v>0</v>
      </c>
      <c r="Z12" s="83">
        <f>SUMIF('手机&amp;平板保底版销售计划数量VS 实际出货'!A:A,B12,'手机&amp;平板保底版销售计划数量VS 实际出货'!AD:AD)</f>
        <v>0</v>
      </c>
      <c r="AA12" s="84">
        <f t="shared" ref="AA12:AA16" si="2">C12+E12+G12+I12+K12+M12+O12+Q12+S12+U12+W12+Y12</f>
        <v>152500</v>
      </c>
      <c r="AB12" s="84">
        <f t="shared" ref="AB12:AB16" si="3">D12+F12+H12+J12+L12+N12+P12+R12+T12+V12+X12+Z12</f>
        <v>133300</v>
      </c>
    </row>
    <row r="13" customFormat="1" ht="13.85" spans="2:29">
      <c r="B13" s="77" t="s">
        <v>161</v>
      </c>
      <c r="C13" s="78">
        <f>SUMIF('手机&amp;平板保底版销售计划数量VS 实际出货'!A:A,B13,'手机&amp;平板保底版销售计划数量VS 实际出货'!G:G)</f>
        <v>0</v>
      </c>
      <c r="D13" s="78">
        <f>SUMIF('手机&amp;平板保底版销售计划数量VS 实际出货'!A:A,B13,'手机&amp;平板保底版销售计划数量VS 实际出货'!H:H)</f>
        <v>0</v>
      </c>
      <c r="E13" s="79">
        <f>SUMIF('手机&amp;平板保底版销售计划数量VS 实际出货'!A:A,B13,'手机&amp;平板保底版销售计划数量VS 实际出货'!I:I)</f>
        <v>0</v>
      </c>
      <c r="F13" s="79">
        <f>SUMIF('手机&amp;平板保底版销售计划数量VS 实际出货'!A:A,B13,'手机&amp;平板保底版销售计划数量VS 实际出货'!J:J)</f>
        <v>0</v>
      </c>
      <c r="G13" s="80">
        <f>SUMIF('手机&amp;平板保底版销售计划数量VS 实际出货'!A:A,B13,'手机&amp;平板保底版销售计划数量VS 实际出货'!K:K)</f>
        <v>0</v>
      </c>
      <c r="H13" s="80">
        <f>SUMIF('手机&amp;平板保底版销售计划数量VS 实际出货'!A:A,B13,'手机&amp;平板保底版销售计划数量VS 实际出货'!L:L)</f>
        <v>0</v>
      </c>
      <c r="I13" s="78">
        <f>SUMIF('手机&amp;平板保底版销售计划数量VS 实际出货'!A:A,B13,'手机&amp;平板保底版销售计划数量VS 实际出货'!M:M)</f>
        <v>0</v>
      </c>
      <c r="J13" s="78">
        <f>SUMIF('手机&amp;平板保底版销售计划数量VS 实际出货'!A:A,B13,'手机&amp;平板保底版销售计划数量VS 实际出货'!N:N)</f>
        <v>0</v>
      </c>
      <c r="K13" s="81">
        <f>SUMIF('手机&amp;平板保底版销售计划数量VS 实际出货'!A:A,B13,'手机&amp;平板保底版销售计划数量VS 实际出货'!O:O)</f>
        <v>0</v>
      </c>
      <c r="L13" s="81">
        <f>SUMIF('手机&amp;平板保底版销售计划数量VS 实际出货'!A:A,B13,'手机&amp;平板保底版销售计划数量VS 实际出货'!P:P)</f>
        <v>500</v>
      </c>
      <c r="M13" s="82">
        <f>SUMIF('手机&amp;平板保底版销售计划数量VS 实际出货'!A:A,B13,'手机&amp;平板保底版销售计划数量VS 实际出货'!Q:Q)</f>
        <v>0</v>
      </c>
      <c r="N13" s="82">
        <f>SUMIF('手机&amp;平板保底版销售计划数量VS 实际出货'!A:A,B13,'手机&amp;平板保底版销售计划数量VS 实际出货'!R:R)</f>
        <v>80000</v>
      </c>
      <c r="O13" s="78">
        <f>SUMIF('手机&amp;平板保底版销售计划数量VS 实际出货'!A:A,B13,'手机&amp;平板保底版销售计划数量VS 实际出货'!S:S)</f>
        <v>0</v>
      </c>
      <c r="P13" s="78">
        <f>SUMIF('手机&amp;平板保底版销售计划数量VS 实际出货'!A:A,B13,'手机&amp;平板保底版销售计划数量VS 实际出货'!T:T)</f>
        <v>179500</v>
      </c>
      <c r="Q13" s="79">
        <f>SUMIF('手机&amp;平板保底版销售计划数量VS 实际出货'!A:A,B13,'手机&amp;平板保底版销售计划数量VS 实际出货'!U:U)</f>
        <v>0</v>
      </c>
      <c r="R13" s="79">
        <f>SUMIF('手机&amp;平板保底版销售计划数量VS 实际出货'!A:A,B13,'手机&amp;平板保底版销售计划数量VS 实际出货'!V:V)</f>
        <v>90000</v>
      </c>
      <c r="S13" s="80">
        <f>SUMIF('手机&amp;平板保底版销售计划数量VS 实际出货'!A:A,B13,'手机&amp;平板保底版销售计划数量VS 实际出货'!W:W)</f>
        <v>0</v>
      </c>
      <c r="T13" s="80">
        <f>SUMIF('手机&amp;平板保底版销售计划数量VS 实际出货'!A:A,B13,'手机&amp;平板保底版销售计划数量VS 实际出货'!X:X)</f>
        <v>260000</v>
      </c>
      <c r="U13" s="78">
        <f>SUMIF('手机&amp;平板保底版销售计划数量VS 实际出货'!A:A,B13,'手机&amp;平板保底版销售计划数量VS 实际出货'!Y:Y)</f>
        <v>0</v>
      </c>
      <c r="V13" s="78">
        <f>SUMIF('手机&amp;平板保底版销售计划数量VS 实际出货'!A:A,B13,'手机&amp;平板保底版销售计划数量VS 实际出货'!Z:Z)</f>
        <v>90000</v>
      </c>
      <c r="W13" s="79">
        <f>SUMIF('手机&amp;平板保底版销售计划数量VS 实际出货'!A:A,B13,'手机&amp;平板保底版销售计划数量VS 实际出货'!AA:AA)</f>
        <v>0</v>
      </c>
      <c r="X13" s="79">
        <f>SUMIF('手机&amp;平板保底版销售计划数量VS 实际出货'!A:A,B13,'手机&amp;平板保底版销售计划数量VS 实际出货'!AB:AB)</f>
        <v>0</v>
      </c>
      <c r="Y13" s="80">
        <f>SUMIF('手机&amp;平板保底版销售计划数量VS 实际出货'!A:A,B13,'手机&amp;平板保底版销售计划数量VS 实际出货'!AC:AC)</f>
        <v>0</v>
      </c>
      <c r="Z13" s="83">
        <f>SUMIF('手机&amp;平板保底版销售计划数量VS 实际出货'!A:A,B13,'手机&amp;平板保底版销售计划数量VS 实际出货'!AD:AD)</f>
        <v>20000</v>
      </c>
      <c r="AA13" s="84">
        <f t="shared" si="2"/>
        <v>0</v>
      </c>
      <c r="AB13" s="84">
        <f t="shared" si="3"/>
        <v>720000</v>
      </c>
    </row>
    <row r="14" customFormat="1" ht="13.85" spans="2:29">
      <c r="B14" s="77" t="s">
        <v>166</v>
      </c>
      <c r="C14" s="78">
        <f>SUMIF('手机&amp;平板保底版销售计划数量VS 实际出货'!A:A,B14,'手机&amp;平板保底版销售计划数量VS 实际出货'!G:G)</f>
        <v>0</v>
      </c>
      <c r="D14" s="78">
        <f>SUMIF('手机&amp;平板保底版销售计划数量VS 实际出货'!A:A,B14,'手机&amp;平板保底版销售计划数量VS 实际出货'!H:H)</f>
        <v>0</v>
      </c>
      <c r="E14" s="79">
        <f>SUMIF('手机&amp;平板保底版销售计划数量VS 实际出货'!A:A,B14,'手机&amp;平板保底版销售计划数量VS 实际出货'!I:I)</f>
        <v>0</v>
      </c>
      <c r="F14" s="79">
        <f>SUMIF('手机&amp;平板保底版销售计划数量VS 实际出货'!A:A,B14,'手机&amp;平板保底版销售计划数量VS 实际出货'!J:J)</f>
        <v>0</v>
      </c>
      <c r="G14" s="80">
        <f>SUMIF('手机&amp;平板保底版销售计划数量VS 实际出货'!A:A,B14,'手机&amp;平板保底版销售计划数量VS 实际出货'!K:K)</f>
        <v>0</v>
      </c>
      <c r="H14" s="80">
        <f>SUMIF('手机&amp;平板保底版销售计划数量VS 实际出货'!A:A,B14,'手机&amp;平板保底版销售计划数量VS 实际出货'!L:L)</f>
        <v>0</v>
      </c>
      <c r="I14" s="78">
        <f>SUMIF('手机&amp;平板保底版销售计划数量VS 实际出货'!A:A,B14,'手机&amp;平板保底版销售计划数量VS 实际出货'!M:M)</f>
        <v>0</v>
      </c>
      <c r="J14" s="78">
        <f>SUMIF('手机&amp;平板保底版销售计划数量VS 实际出货'!A:A,B14,'手机&amp;平板保底版销售计划数量VS 实际出货'!N:N)</f>
        <v>0</v>
      </c>
      <c r="K14" s="81">
        <f>SUMIF('手机&amp;平板保底版销售计划数量VS 实际出货'!A:A,B14,'手机&amp;平板保底版销售计划数量VS 实际出货'!O:O)</f>
        <v>0</v>
      </c>
      <c r="L14" s="81">
        <f>SUMIF('手机&amp;平板保底版销售计划数量VS 实际出货'!A:A,B14,'手机&amp;平板保底版销售计划数量VS 实际出货'!P:P)</f>
        <v>10000</v>
      </c>
      <c r="M14" s="82">
        <f>SUMIF('手机&amp;平板保底版销售计划数量VS 实际出货'!A:A,B14,'手机&amp;平板保底版销售计划数量VS 实际出货'!Q:Q)</f>
        <v>0</v>
      </c>
      <c r="N14" s="82">
        <f>SUMIF('手机&amp;平板保底版销售计划数量VS 实际出货'!A:A,B14,'手机&amp;平板保底版销售计划数量VS 实际出货'!R:R)</f>
        <v>0</v>
      </c>
      <c r="O14" s="78">
        <f>SUMIF('手机&amp;平板保底版销售计划数量VS 实际出货'!A:A,B14,'手机&amp;平板保底版销售计划数量VS 实际出货'!S:S)</f>
        <v>0</v>
      </c>
      <c r="P14" s="78">
        <f>SUMIF('手机&amp;平板保底版销售计划数量VS 实际出货'!A:A,B14,'手机&amp;平板保底版销售计划数量VS 实际出货'!T:T)</f>
        <v>10000</v>
      </c>
      <c r="Q14" s="79">
        <f>SUMIF('手机&amp;平板保底版销售计划数量VS 实际出货'!A:A,B14,'手机&amp;平板保底版销售计划数量VS 实际出货'!U:U)</f>
        <v>0</v>
      </c>
      <c r="R14" s="79">
        <f>SUMIF('手机&amp;平板保底版销售计划数量VS 实际出货'!A:A,B14,'手机&amp;平板保底版销售计划数量VS 实际出货'!V:V)</f>
        <v>0</v>
      </c>
      <c r="S14" s="80">
        <f>SUMIF('手机&amp;平板保底版销售计划数量VS 实际出货'!A:A,B14,'手机&amp;平板保底版销售计划数量VS 实际出货'!W:W)</f>
        <v>0</v>
      </c>
      <c r="T14" s="80">
        <f>SUMIF('手机&amp;平板保底版销售计划数量VS 实际出货'!A:A,B14,'手机&amp;平板保底版销售计划数量VS 实际出货'!X:X)</f>
        <v>10000</v>
      </c>
      <c r="U14" s="78">
        <f>SUMIF('手机&amp;平板保底版销售计划数量VS 实际出货'!A:A,B14,'手机&amp;平板保底版销售计划数量VS 实际出货'!Y:Y)</f>
        <v>0</v>
      </c>
      <c r="V14" s="78">
        <f>SUMIF('手机&amp;平板保底版销售计划数量VS 实际出货'!A:A,B14,'手机&amp;平板保底版销售计划数量VS 实际出货'!Z:Z)</f>
        <v>0</v>
      </c>
      <c r="W14" s="79">
        <f>SUMIF('手机&amp;平板保底版销售计划数量VS 实际出货'!A:A,B14,'手机&amp;平板保底版销售计划数量VS 实际出货'!AA:AA)</f>
        <v>0</v>
      </c>
      <c r="X14" s="79">
        <f>SUMIF('手机&amp;平板保底版销售计划数量VS 实际出货'!A:A,B14,'手机&amp;平板保底版销售计划数量VS 实际出货'!AB:AB)</f>
        <v>10000</v>
      </c>
      <c r="Y14" s="80">
        <f>SUMIF('手机&amp;平板保底版销售计划数量VS 实际出货'!A:A,B14,'手机&amp;平板保底版销售计划数量VS 实际出货'!AC:AC)</f>
        <v>0</v>
      </c>
      <c r="Z14" s="83">
        <f>SUMIF('手机&amp;平板保底版销售计划数量VS 实际出货'!A:A,B14,'手机&amp;平板保底版销售计划数量VS 实际出货'!AD:AD)</f>
        <v>30000</v>
      </c>
      <c r="AA14" s="84">
        <f t="shared" si="2"/>
        <v>0</v>
      </c>
      <c r="AB14" s="84">
        <f t="shared" si="3"/>
        <v>70000</v>
      </c>
    </row>
    <row r="15" ht="13.85" spans="2:29">
      <c r="B15" s="77" t="s">
        <v>209</v>
      </c>
      <c r="C15" s="78">
        <f>SUMIF('手机&amp;平板保底版销售计划数量VS 实际出货'!A:A,B15,'手机&amp;平板保底版销售计划数量VS 实际出货'!G:G)</f>
        <v>0</v>
      </c>
      <c r="D15" s="78">
        <f>SUMIF('手机&amp;平板保底版销售计划数量VS 实际出货'!A:A,B15,'手机&amp;平板保底版销售计划数量VS 实际出货'!H:H)</f>
        <v>0</v>
      </c>
      <c r="E15" s="79">
        <f>SUMIF('手机&amp;平板保底版销售计划数量VS 实际出货'!A:A,B15,'手机&amp;平板保底版销售计划数量VS 实际出货'!I:I)</f>
        <v>0</v>
      </c>
      <c r="F15" s="79">
        <f>SUMIF('手机&amp;平板保底版销售计划数量VS 实际出货'!A:A,B15,'手机&amp;平板保底版销售计划数量VS 实际出货'!J:J)</f>
        <v>0</v>
      </c>
      <c r="G15" s="80">
        <f>SUMIF('手机&amp;平板保底版销售计划数量VS 实际出货'!A:A,B15,'手机&amp;平板保底版销售计划数量VS 实际出货'!K:K)</f>
        <v>0</v>
      </c>
      <c r="H15" s="80">
        <f>SUMIF('手机&amp;平板保底版销售计划数量VS 实际出货'!A:A,B15,'手机&amp;平板保底版销售计划数量VS 实际出货'!L:L)</f>
        <v>0</v>
      </c>
      <c r="I15" s="78">
        <f>SUMIF('手机&amp;平板保底版销售计划数量VS 实际出货'!A:A,B15,'手机&amp;平板保底版销售计划数量VS 实际出货'!M:M)</f>
        <v>20000</v>
      </c>
      <c r="J15" s="78">
        <f>SUMIF('手机&amp;平板保底版销售计划数量VS 实际出货'!A:A,B15,'手机&amp;平板保底版销售计划数量VS 实际出货'!N:N)</f>
        <v>0</v>
      </c>
      <c r="K15" s="81">
        <f>SUMIF('手机&amp;平板保底版销售计划数量VS 实际出货'!A:A,B15,'手机&amp;平板保底版销售计划数量VS 实际出货'!O:O)</f>
        <v>0</v>
      </c>
      <c r="L15" s="81">
        <f>SUMIF('手机&amp;平板保底版销售计划数量VS 实际出货'!A:A,B15,'手机&amp;平板保底版销售计划数量VS 实际出货'!P:P)</f>
        <v>0</v>
      </c>
      <c r="M15" s="82">
        <f>SUMIF('手机&amp;平板保底版销售计划数量VS 实际出货'!A:A,B15,'手机&amp;平板保底版销售计划数量VS 实际出货'!Q:Q)</f>
        <v>0</v>
      </c>
      <c r="N15" s="82">
        <f>SUMIF('手机&amp;平板保底版销售计划数量VS 实际出货'!A:A,B15,'手机&amp;平板保底版销售计划数量VS 实际出货'!R:R)</f>
        <v>0</v>
      </c>
      <c r="O15" s="78">
        <f>SUMIF('手机&amp;平板保底版销售计划数量VS 实际出货'!A:A,B15,'手机&amp;平板保底版销售计划数量VS 实际出货'!S:S)</f>
        <v>10000</v>
      </c>
      <c r="P15" s="78">
        <f>SUMIF('手机&amp;平板保底版销售计划数量VS 实际出货'!A:A,B15,'手机&amp;平板保底版销售计划数量VS 实际出货'!T:T)</f>
        <v>0</v>
      </c>
      <c r="Q15" s="79">
        <f>SUMIF('手机&amp;平板保底版销售计划数量VS 实际出货'!A:A,B15,'手机&amp;平板保底版销售计划数量VS 实际出货'!U:U)</f>
        <v>0</v>
      </c>
      <c r="R15" s="79">
        <f>SUMIF('手机&amp;平板保底版销售计划数量VS 实际出货'!A:A,B15,'手机&amp;平板保底版销售计划数量VS 实际出货'!V:V)</f>
        <v>0</v>
      </c>
      <c r="S15" s="80">
        <f>SUMIF('手机&amp;平板保底版销售计划数量VS 实际出货'!A:A,B15,'手机&amp;平板保底版销售计划数量VS 实际出货'!W:W)</f>
        <v>10000</v>
      </c>
      <c r="T15" s="80">
        <f>SUMIF('手机&amp;平板保底版销售计划数量VS 实际出货'!A:A,B15,'手机&amp;平板保底版销售计划数量VS 实际出货'!X:X)</f>
        <v>0</v>
      </c>
      <c r="U15" s="78">
        <f>SUMIF('手机&amp;平板保底版销售计划数量VS 实际出货'!A:A,B15,'手机&amp;平板保底版销售计划数量VS 实际出货'!Y:Y)</f>
        <v>0</v>
      </c>
      <c r="V15" s="78">
        <f>SUMIF('手机&amp;平板保底版销售计划数量VS 实际出货'!A:A,B15,'手机&amp;平板保底版销售计划数量VS 实际出货'!Z:Z)</f>
        <v>0</v>
      </c>
      <c r="W15" s="79">
        <f>SUMIF('手机&amp;平板保底版销售计划数量VS 实际出货'!A:A,B15,'手机&amp;平板保底版销售计划数量VS 实际出货'!AA:AA)</f>
        <v>0</v>
      </c>
      <c r="X15" s="79">
        <f>SUMIF('手机&amp;平板保底版销售计划数量VS 实际出货'!A:A,B15,'手机&amp;平板保底版销售计划数量VS 实际出货'!AB:AB)</f>
        <v>0</v>
      </c>
      <c r="Y15" s="80">
        <f>SUMIF('手机&amp;平板保底版销售计划数量VS 实际出货'!A:A,B15,'手机&amp;平板保底版销售计划数量VS 实际出货'!AC:AC)</f>
        <v>0</v>
      </c>
      <c r="Z15" s="83">
        <f>SUMIF('手机&amp;平板保底版销售计划数量VS 实际出货'!A:A,B15,'手机&amp;平板保底版销售计划数量VS 实际出货'!AD:AD)</f>
        <v>0</v>
      </c>
      <c r="AA15" s="84">
        <f t="shared" si="2"/>
        <v>40000</v>
      </c>
      <c r="AB15" s="84">
        <f t="shared" si="3"/>
        <v>0</v>
      </c>
    </row>
    <row r="16" ht="13.85" spans="2:29">
      <c r="B16" s="77" t="s">
        <v>83</v>
      </c>
      <c r="C16" s="78">
        <f>SUMIF('手机&amp;平板保底版销售计划数量VS 实际出货'!A:A,B16,'手机&amp;平板保底版销售计划数量VS 实际出货'!G:G)</f>
        <v>24500</v>
      </c>
      <c r="D16" s="78">
        <f>SUMIF('手机&amp;平板保底版销售计划数量VS 实际出货'!A:A,B16,'手机&amp;平板保底版销售计划数量VS 实际出货'!H:H)</f>
        <v>24500</v>
      </c>
      <c r="E16" s="79">
        <f>SUMIF('手机&amp;平板保底版销售计划数量VS 实际出货'!A:A,B16,'手机&amp;平板保底版销售计划数量VS 实际出货'!I:I)</f>
        <v>15500</v>
      </c>
      <c r="F16" s="79">
        <f>SUMIF('手机&amp;平板保底版销售计划数量VS 实际出货'!A:A,B16,'手机&amp;平板保底版销售计划数量VS 实际出货'!J:J)</f>
        <v>0</v>
      </c>
      <c r="G16" s="80">
        <f>SUMIF('手机&amp;平板保底版销售计划数量VS 实际出货'!A:A,B16,'手机&amp;平板保底版销售计划数量VS 实际出货'!K:K)</f>
        <v>15500</v>
      </c>
      <c r="H16" s="80">
        <f>SUMIF('手机&amp;平板保底版销售计划数量VS 实际出货'!A:A,B16,'手机&amp;平板保底版销售计划数量VS 实际出货'!L:L)</f>
        <v>0</v>
      </c>
      <c r="I16" s="78">
        <f>SUMIF('手机&amp;平板保底版销售计划数量VS 实际出货'!A:A,B16,'手机&amp;平板保底版销售计划数量VS 实际出货'!M:M)</f>
        <v>10000</v>
      </c>
      <c r="J16" s="78">
        <f>SUMIF('手机&amp;平板保底版销售计划数量VS 实际出货'!A:A,B16,'手机&amp;平板保底版销售计划数量VS 实际出货'!N:N)</f>
        <v>0</v>
      </c>
      <c r="K16" s="81">
        <f>SUMIF('手机&amp;平板保底版销售计划数量VS 实际出货'!A:A,B16,'手机&amp;平板保底版销售计划数量VS 实际出货'!O:O)</f>
        <v>20000</v>
      </c>
      <c r="L16" s="81">
        <f>SUMIF('手机&amp;平板保底版销售计划数量VS 实际出货'!A:A,B16,'手机&amp;平板保底版销售计划数量VS 实际出货'!P:P)</f>
        <v>5000</v>
      </c>
      <c r="M16" s="82">
        <f>SUMIF('手机&amp;平板保底版销售计划数量VS 实际出货'!A:A,B16,'手机&amp;平板保底版销售计划数量VS 实际出货'!Q:Q)</f>
        <v>30000</v>
      </c>
      <c r="N16" s="82">
        <f>SUMIF('手机&amp;平板保底版销售计划数量VS 实际出货'!A:A,B16,'手机&amp;平板保底版销售计划数量VS 实际出货'!R:R)</f>
        <v>12000</v>
      </c>
      <c r="O16" s="78">
        <f>SUMIF('手机&amp;平板保底版销售计划数量VS 实际出货'!A:A,B16,'手机&amp;平板保底版销售计划数量VS 实际出货'!S:S)</f>
        <v>10000</v>
      </c>
      <c r="P16" s="78">
        <f>SUMIF('手机&amp;平板保底版销售计划数量VS 实际出货'!A:A,B16,'手机&amp;平板保底版销售计划数量VS 实际出货'!T:T)</f>
        <v>3000</v>
      </c>
      <c r="Q16" s="79">
        <f>SUMIF('手机&amp;平板保底版销售计划数量VS 实际出货'!A:A,B16,'手机&amp;平板保底版销售计划数量VS 实际出货'!U:U)</f>
        <v>20000</v>
      </c>
      <c r="R16" s="79">
        <f>SUMIF('手机&amp;平板保底版销售计划数量VS 实际出货'!A:A,B16,'手机&amp;平板保底版销售计划数量VS 实际出货'!V:V)</f>
        <v>0</v>
      </c>
      <c r="S16" s="80">
        <f>SUMIF('手机&amp;平板保底版销售计划数量VS 实际出货'!A:A,B16,'手机&amp;平板保底版销售计划数量VS 实际出货'!W:W)</f>
        <v>0</v>
      </c>
      <c r="T16" s="80">
        <f>SUMIF('手机&amp;平板保底版销售计划数量VS 实际出货'!A:A,B16,'手机&amp;平板保底版销售计划数量VS 实际出货'!X:X)</f>
        <v>0</v>
      </c>
      <c r="U16" s="78">
        <f>SUMIF('手机&amp;平板保底版销售计划数量VS 实际出货'!A:A,B16,'手机&amp;平板保底版销售计划数量VS 实际出货'!Y:Y)</f>
        <v>10000</v>
      </c>
      <c r="V16" s="78">
        <f>SUMIF('手机&amp;平板保底版销售计划数量VS 实际出货'!A:A,B16,'手机&amp;平板保底版销售计划数量VS 实际出货'!Z:Z)</f>
        <v>20000</v>
      </c>
      <c r="W16" s="79">
        <f>SUMIF('手机&amp;平板保底版销售计划数量VS 实际出货'!A:A,B16,'手机&amp;平板保底版销售计划数量VS 实际出货'!AA:AA)</f>
        <v>0</v>
      </c>
      <c r="X16" s="79">
        <f>SUMIF('手机&amp;平板保底版销售计划数量VS 实际出货'!A:A,B16,'手机&amp;平板保底版销售计划数量VS 实际出货'!AB:AB)</f>
        <v>0</v>
      </c>
      <c r="Y16" s="80">
        <f>SUMIF('手机&amp;平板保底版销售计划数量VS 实际出货'!A:A,B16,'手机&amp;平板保底版销售计划数量VS 实际出货'!AC:AC)</f>
        <v>0</v>
      </c>
      <c r="Z16" s="83">
        <f>SUMIF('手机&amp;平板保底版销售计划数量VS 实际出货'!A:A,B16,'手机&amp;平板保底版销售计划数量VS 实际出货'!AD:AD)</f>
        <v>0</v>
      </c>
      <c r="AA16" s="84">
        <f t="shared" si="2"/>
        <v>155500</v>
      </c>
      <c r="AB16" s="84">
        <f t="shared" si="3"/>
        <v>64500</v>
      </c>
    </row>
    <row r="17" ht="13.85" spans="2:36">
      <c r="B17" s="77" t="s">
        <v>221</v>
      </c>
      <c r="C17" s="78">
        <f>SUMIF('手机&amp;平板保底版销售计划数量VS 实际出货'!A:A,B17,'手机&amp;平板保底版销售计划数量VS 实际出货'!G:G)</f>
        <v>0</v>
      </c>
      <c r="D17" s="78">
        <f>SUMIF('手机&amp;平板保底版销售计划数量VS 实际出货'!A:A,B17,'手机&amp;平板保底版销售计划数量VS 实际出货'!H:H)</f>
        <v>0</v>
      </c>
      <c r="E17" s="79">
        <f>SUMIF('手机&amp;平板保底版销售计划数量VS 实际出货'!A:A,B17,'手机&amp;平板保底版销售计划数量VS 实际出货'!I:I)</f>
        <v>100000</v>
      </c>
      <c r="F17" s="79">
        <f>SUMIF('手机&amp;平板保底版销售计划数量VS 实际出货'!A:A,B17,'手机&amp;平板保底版销售计划数量VS 实际出货'!J:J)</f>
        <v>30000</v>
      </c>
      <c r="G17" s="80">
        <f>SUMIF('手机&amp;平板保底版销售计划数量VS 实际出货'!A:A,B17,'手机&amp;平板保底版销售计划数量VS 实际出货'!K:K)</f>
        <v>100000</v>
      </c>
      <c r="H17" s="80">
        <f>SUMIF('手机&amp;平板保底版销售计划数量VS 实际出货'!A:A,B17,'手机&amp;平板保底版销售计划数量VS 实际出货'!L:L)</f>
        <v>70000</v>
      </c>
      <c r="I17" s="78">
        <f>SUMIF('手机&amp;平板保底版销售计划数量VS 实际出货'!A:A,B17,'手机&amp;平板保底版销售计划数量VS 实际出货'!M:M)</f>
        <v>150000</v>
      </c>
      <c r="J17" s="78">
        <f>SUMIF('手机&amp;平板保底版销售计划数量VS 实际出货'!A:A,B17,'手机&amp;平板保底版销售计划数量VS 实际出货'!N:N)</f>
        <v>0</v>
      </c>
      <c r="K17" s="81">
        <f>SUMIF('手机&amp;平板保底版销售计划数量VS 实际出货'!A:A,B17,'手机&amp;平板保底版销售计划数量VS 实际出货'!O:O)</f>
        <v>50000</v>
      </c>
      <c r="L17" s="81">
        <f>SUMIF('手机&amp;平板保底版销售计划数量VS 实际出货'!A:A,B17,'手机&amp;平板保底版销售计划数量VS 实际出货'!P:P)</f>
        <v>24000</v>
      </c>
      <c r="M17" s="82">
        <f>SUMIF('手机&amp;平板保底版销售计划数量VS 实际出货'!A:A,B17,'手机&amp;平板保底版销售计划数量VS 实际出货'!Q:Q)</f>
        <v>110000</v>
      </c>
      <c r="N17" s="82">
        <f>SUMIF('手机&amp;平板保底版销售计划数量VS 实际出货'!A:A,B17,'手机&amp;平板保底版销售计划数量VS 实际出货'!R:R)</f>
        <v>1000</v>
      </c>
      <c r="O17" s="78">
        <f>SUMIF('手机&amp;平板保底版销售计划数量VS 实际出货'!A:A,B17,'手机&amp;平板保底版销售计划数量VS 实际出货'!S:S)</f>
        <v>160000</v>
      </c>
      <c r="P17" s="78">
        <f>SUMIF('手机&amp;平板保底版销售计划数量VS 实际出货'!A:A,B17,'手机&amp;平板保底版销售计划数量VS 实际出货'!T:T)</f>
        <v>0</v>
      </c>
      <c r="Q17" s="79">
        <f>SUMIF('手机&amp;平板保底版销售计划数量VS 实际出货'!A:A,B17,'手机&amp;平板保底版销售计划数量VS 实际出货'!U:U)</f>
        <v>60000</v>
      </c>
      <c r="R17" s="79">
        <f>SUMIF('手机&amp;平板保底版销售计划数量VS 实际出货'!A:A,B17,'手机&amp;平板保底版销售计划数量VS 实际出货'!V:V)</f>
        <v>107000</v>
      </c>
      <c r="S17" s="80">
        <f>SUMIF('手机&amp;平板保底版销售计划数量VS 实际出货'!A:A,B17,'手机&amp;平板保底版销售计划数量VS 实际出货'!W:W)</f>
        <v>110000</v>
      </c>
      <c r="T17" s="80">
        <f>SUMIF('手机&amp;平板保底版销售计划数量VS 实际出货'!A:A,B17,'手机&amp;平板保底版销售计划数量VS 实际出货'!X:X)</f>
        <v>95000</v>
      </c>
      <c r="U17" s="78">
        <f>SUMIF('手机&amp;平板保底版销售计划数量VS 实际出货'!A:A,B17,'手机&amp;平板保底版销售计划数量VS 实际出货'!Y:Y)</f>
        <v>160000</v>
      </c>
      <c r="V17" s="78">
        <f>SUMIF('手机&amp;平板保底版销售计划数量VS 实际出货'!A:A,B17,'手机&amp;平板保底版销售计划数量VS 实际出货'!Z:Z)</f>
        <v>0</v>
      </c>
      <c r="W17" s="79">
        <f>SUMIF('手机&amp;平板保底版销售计划数量VS 实际出货'!A:A,B17,'手机&amp;平板保底版销售计划数量VS 实际出货'!AA:AA)</f>
        <v>36000</v>
      </c>
      <c r="X17" s="79">
        <f>SUMIF('手机&amp;平板保底版销售计划数量VS 实际出货'!A:A,B17,'手机&amp;平板保底版销售计划数量VS 实际出货'!AB:AB)</f>
        <v>35000</v>
      </c>
      <c r="Y17" s="80">
        <f>SUMIF('手机&amp;平板保底版销售计划数量VS 实际出货'!A:A,B17,'手机&amp;平板保底版销售计划数量VS 实际出货'!AC:AC)</f>
        <v>10000</v>
      </c>
      <c r="Z17" s="83">
        <f>SUMIF('手机&amp;平板保底版销售计划数量VS 实际出货'!A:A,B17,'手机&amp;平板保底版销售计划数量VS 实际出货'!AD:AD)</f>
        <v>10000</v>
      </c>
      <c r="AA17" s="84">
        <f t="shared" ref="AA17" si="4">C17+E17+G17+I17+K17+M17+O17+Q17+S17+U17+W17+Y17</f>
        <v>1046000</v>
      </c>
      <c r="AB17" s="84">
        <f t="shared" ref="AB17" si="5">D17+F17+H17+J17+L17+N17+P17+R17+T17+V17+X17+Z17</f>
        <v>372000</v>
      </c>
    </row>
    <row r="18" ht="13.85" spans="2:36">
      <c r="B18" s="77" t="s">
        <v>195</v>
      </c>
      <c r="C18" s="78">
        <f>SUMIF('手机&amp;平板保底版销售计划数量VS 实际出货'!A:A,B18,'手机&amp;平板保底版销售计划数量VS 实际出货'!G:G)</f>
        <v>10000</v>
      </c>
      <c r="D18" s="78">
        <f>SUMIF('手机&amp;平板保底版销售计划数量VS 实际出货'!A:A,B18,'手机&amp;平板保底版销售计划数量VS 实际出货'!H:H)</f>
        <v>10200</v>
      </c>
      <c r="E18" s="79">
        <f>SUMIF('手机&amp;平板保底版销售计划数量VS 实际出货'!A:A,B18,'手机&amp;平板保底版销售计划数量VS 实际出货'!I:I)</f>
        <v>0</v>
      </c>
      <c r="F18" s="79">
        <f>SUMIF('手机&amp;平板保底版销售计划数量VS 实际出货'!A:A,B18,'手机&amp;平板保底版销售计划数量VS 实际出货'!J:J)</f>
        <v>0</v>
      </c>
      <c r="G18" s="80">
        <f>SUMIF('手机&amp;平板保底版销售计划数量VS 实际出货'!A:A,B18,'手机&amp;平板保底版销售计划数量VS 实际出货'!K:K)</f>
        <v>0</v>
      </c>
      <c r="H18" s="80">
        <f>SUMIF('手机&amp;平板保底版销售计划数量VS 实际出货'!A:A,B18,'手机&amp;平板保底版销售计划数量VS 实际出货'!L:L)</f>
        <v>0</v>
      </c>
      <c r="I18" s="78">
        <f>SUMIF('手机&amp;平板保底版销售计划数量VS 实际出货'!A:A,B18,'手机&amp;平板保底版销售计划数量VS 实际出货'!M:M)</f>
        <v>10000</v>
      </c>
      <c r="J18" s="78">
        <f>SUMIF('手机&amp;平板保底版销售计划数量VS 实际出货'!A:A,B18,'手机&amp;平板保底版销售计划数量VS 实际出货'!N:N)</f>
        <v>1800</v>
      </c>
      <c r="K18" s="81">
        <f>SUMIF('手机&amp;平板保底版销售计划数量VS 实际出货'!A:A,B18,'手机&amp;平板保底版销售计划数量VS 实际出货'!O:O)</f>
        <v>0</v>
      </c>
      <c r="L18" s="81">
        <f>SUMIF('手机&amp;平板保底版销售计划数量VS 实际出货'!A:A,B18,'手机&amp;平板保底版销售计划数量VS 实际出货'!P:P)</f>
        <v>8400</v>
      </c>
      <c r="M18" s="82">
        <f>SUMIF('手机&amp;平板保底版销售计划数量VS 实际出货'!A:A,B18,'手机&amp;平板保底版销售计划数量VS 实际出货'!Q:Q)</f>
        <v>10000</v>
      </c>
      <c r="N18" s="82">
        <f>SUMIF('手机&amp;平板保底版销售计划数量VS 实际出货'!A:A,B18,'手机&amp;平板保底版销售计划数量VS 实际出货'!R:R)</f>
        <v>10200</v>
      </c>
      <c r="O18" s="78">
        <f>SUMIF('手机&amp;平板保底版销售计划数量VS 实际出货'!A:A,B18,'手机&amp;平板保底版销售计划数量VS 实际出货'!S:S)</f>
        <v>0</v>
      </c>
      <c r="P18" s="78">
        <f>SUMIF('手机&amp;平板保底版销售计划数量VS 实际出货'!A:A,B18,'手机&amp;平板保底版销售计划数量VS 实际出货'!T:T)</f>
        <v>0</v>
      </c>
      <c r="Q18" s="79">
        <f>SUMIF('手机&amp;平板保底版销售计划数量VS 实际出货'!A:A,B18,'手机&amp;平板保底版销售计划数量VS 实际出货'!U:U)</f>
        <v>10000</v>
      </c>
      <c r="R18" s="79">
        <f>SUMIF('手机&amp;平板保底版销售计划数量VS 实际出货'!A:A,B18,'手机&amp;平板保底版销售计划数量VS 实际出货'!V:V)</f>
        <v>0</v>
      </c>
      <c r="S18" s="80">
        <f>SUMIF('手机&amp;平板保底版销售计划数量VS 实际出货'!A:A,B18,'手机&amp;平板保底版销售计划数量VS 实际出货'!W:W)</f>
        <v>0</v>
      </c>
      <c r="T18" s="80">
        <f>SUMIF('手机&amp;平板保底版销售计划数量VS 实际出货'!A:A,B18,'手机&amp;平板保底版销售计划数量VS 实际出货'!X:X)</f>
        <v>30600</v>
      </c>
      <c r="U18" s="78">
        <f>SUMIF('手机&amp;平板保底版销售计划数量VS 实际出货'!A:A,B18,'手机&amp;平板保底版销售计划数量VS 实际出货'!Y:Y)</f>
        <v>0</v>
      </c>
      <c r="V18" s="78">
        <f>SUMIF('手机&amp;平板保底版销售计划数量VS 实际出货'!A:A,B18,'手机&amp;平板保底版销售计划数量VS 实际出货'!Z:Z)</f>
        <v>5095</v>
      </c>
      <c r="W18" s="79">
        <f>SUMIF('手机&amp;平板保底版销售计划数量VS 实际出货'!A:A,B18,'手机&amp;平板保底版销售计划数量VS 实际出货'!AA:AA)</f>
        <v>0</v>
      </c>
      <c r="X18" s="79">
        <f>SUMIF('手机&amp;平板保底版销售计划数量VS 实际出货'!A:A,B18,'手机&amp;平板保底版销售计划数量VS 实际出货'!AB:AB)</f>
        <v>0</v>
      </c>
      <c r="Y18" s="80">
        <f>SUMIF('手机&amp;平板保底版销售计划数量VS 实际出货'!A:A,B18,'手机&amp;平板保底版销售计划数量VS 实际出货'!AC:AC)</f>
        <v>0</v>
      </c>
      <c r="Z18" s="83">
        <f>SUMIF('手机&amp;平板保底版销售计划数量VS 实际出货'!A:A,B18,'手机&amp;平板保底版销售计划数量VS 实际出货'!AD:AD)</f>
        <v>0</v>
      </c>
      <c r="AA18" s="84">
        <f t="shared" ref="AA18" si="6">C18+E18+G18+I18+K18+M18+O18+Q18+S18+U18+W18+Y18</f>
        <v>40000</v>
      </c>
      <c r="AB18" s="84">
        <f t="shared" ref="AB18" si="7">D18+F18+H18+J18+L18+N18+P18+R18+T18+V18+X18+Z18</f>
        <v>66295</v>
      </c>
    </row>
    <row r="19" ht="13.85" spans="2:36">
      <c r="B19" s="77" t="s">
        <v>174</v>
      </c>
      <c r="C19" s="78">
        <f>SUMIF('手机&amp;平板保底版销售计划数量VS 实际出货'!A:A,B19,'手机&amp;平板保底版销售计划数量VS 实际出货'!G:G)</f>
        <v>0</v>
      </c>
      <c r="D19" s="78">
        <f>SUMIF('手机&amp;平板保底版销售计划数量VS 实际出货'!A:A,B19,'手机&amp;平板保底版销售计划数量VS 实际出货'!H:H)</f>
        <v>0</v>
      </c>
      <c r="E19" s="79">
        <f>SUMIF('手机&amp;平板保底版销售计划数量VS 实际出货'!A:A,B19,'手机&amp;平板保底版销售计划数量VS 实际出货'!I:I)</f>
        <v>0</v>
      </c>
      <c r="F19" s="79">
        <f>SUMIF('手机&amp;平板保底版销售计划数量VS 实际出货'!A:A,B19,'手机&amp;平板保底版销售计划数量VS 实际出货'!J:J)</f>
        <v>0</v>
      </c>
      <c r="G19" s="80">
        <f>SUMIF('手机&amp;平板保底版销售计划数量VS 实际出货'!A:A,B19,'手机&amp;平板保底版销售计划数量VS 实际出货'!K:K)</f>
        <v>0</v>
      </c>
      <c r="H19" s="80">
        <f>SUMIF('手机&amp;平板保底版销售计划数量VS 实际出货'!A:A,B19,'手机&amp;平板保底版销售计划数量VS 实际出货'!L:L)</f>
        <v>0</v>
      </c>
      <c r="I19" s="78">
        <f>SUMIF('手机&amp;平板保底版销售计划数量VS 实际出货'!A:A,B19,'手机&amp;平板保底版销售计划数量VS 实际出货'!M:M)</f>
        <v>0</v>
      </c>
      <c r="J19" s="78">
        <f>SUMIF('手机&amp;平板保底版销售计划数量VS 实际出货'!A:A,B19,'手机&amp;平板保底版销售计划数量VS 实际出货'!N:N)</f>
        <v>0</v>
      </c>
      <c r="K19" s="81">
        <f>SUMIF('手机&amp;平板保底版销售计划数量VS 实际出货'!A:A,B19,'手机&amp;平板保底版销售计划数量VS 实际出货'!O:O)</f>
        <v>0</v>
      </c>
      <c r="L19" s="81">
        <f>SUMIF('手机&amp;平板保底版销售计划数量VS 实际出货'!A:A,B19,'手机&amp;平板保底版销售计划数量VS 实际出货'!P:P)</f>
        <v>0</v>
      </c>
      <c r="M19" s="82">
        <f>SUMIF('手机&amp;平板保底版销售计划数量VS 实际出货'!A:A,B19,'手机&amp;平板保底版销售计划数量VS 实际出货'!Q:Q)</f>
        <v>0</v>
      </c>
      <c r="N19" s="82">
        <f>SUMIF('手机&amp;平板保底版销售计划数量VS 实际出货'!A:A,B19,'手机&amp;平板保底版销售计划数量VS 实际出货'!R:R)</f>
        <v>0</v>
      </c>
      <c r="O19" s="78">
        <f>SUMIF('手机&amp;平板保底版销售计划数量VS 实际出货'!A:A,B19,'手机&amp;平板保底版销售计划数量VS 实际出货'!S:S)</f>
        <v>0</v>
      </c>
      <c r="P19" s="78">
        <f>SUMIF('手机&amp;平板保底版销售计划数量VS 实际出货'!A:A,B19,'手机&amp;平板保底版销售计划数量VS 实际出货'!T:T)</f>
        <v>0</v>
      </c>
      <c r="Q19" s="79">
        <f>SUMIF('手机&amp;平板保底版销售计划数量VS 实际出货'!A:A,B19,'手机&amp;平板保底版销售计划数量VS 实际出货'!U:U)</f>
        <v>0</v>
      </c>
      <c r="R19" s="79">
        <f>SUMIF('手机&amp;平板保底版销售计划数量VS 实际出货'!A:A,B19,'手机&amp;平板保底版销售计划数量VS 实际出货'!V:V)</f>
        <v>0</v>
      </c>
      <c r="S19" s="80">
        <f>SUMIF('手机&amp;平板保底版销售计划数量VS 实际出货'!A:A,B19,'手机&amp;平板保底版销售计划数量VS 实际出货'!W:W)</f>
        <v>0</v>
      </c>
      <c r="T19" s="80">
        <f>SUMIF('手机&amp;平板保底版销售计划数量VS 实际出货'!A:A,B19,'手机&amp;平板保底版销售计划数量VS 实际出货'!X:X)</f>
        <v>0</v>
      </c>
      <c r="U19" s="78">
        <f>SUMIF('手机&amp;平板保底版销售计划数量VS 实际出货'!A:A,B19,'手机&amp;平板保底版销售计划数量VS 实际出货'!Y:Y)</f>
        <v>0</v>
      </c>
      <c r="V19" s="78">
        <f>SUMIF('手机&amp;平板保底版销售计划数量VS 实际出货'!A:A,B19,'手机&amp;平板保底版销售计划数量VS 实际出货'!Z:Z)</f>
        <v>0</v>
      </c>
      <c r="W19" s="79">
        <f>SUMIF('手机&amp;平板保底版销售计划数量VS 实际出货'!A:A,B19,'手机&amp;平板保底版销售计划数量VS 实际出货'!AA:AA)</f>
        <v>0</v>
      </c>
      <c r="X19" s="79">
        <f>SUMIF('手机&amp;平板保底版销售计划数量VS 实际出货'!A:A,B19,'手机&amp;平板保底版销售计划数量VS 实际出货'!AB:AB)</f>
        <v>0</v>
      </c>
      <c r="Y19" s="80">
        <f>SUMIF('手机&amp;平板保底版销售计划数量VS 实际出货'!A:A,B19,'手机&amp;平板保底版销售计划数量VS 实际出货'!AC:AC)</f>
        <v>0</v>
      </c>
      <c r="Z19" s="83">
        <f>SUMIF('手机&amp;平板保底版销售计划数量VS 实际出货'!A:A,B19,'手机&amp;平板保底版销售计划数量VS 实际出货'!AD:AD)</f>
        <v>5000</v>
      </c>
      <c r="AA19" s="84">
        <f t="shared" ref="AA19:AA22" si="8">C19+E19+G19+I19+K19+M19+O19+Q19+S19+U19+W19+Y19</f>
        <v>0</v>
      </c>
      <c r="AB19" s="84">
        <f t="shared" ref="AB19:AB29" si="9">D19+F19+H19+J19+L19+N19+P19+R19+T19+V19+X19+Z19</f>
        <v>5000</v>
      </c>
    </row>
    <row r="20" ht="13.85" spans="2:36">
      <c r="B20" s="77" t="s">
        <v>186</v>
      </c>
      <c r="C20" s="78">
        <f>SUMIF('手机&amp;平板保底版销售计划数量VS 实际出货'!A:A,B20,'手机&amp;平板保底版销售计划数量VS 实际出货'!G:G)</f>
        <v>0</v>
      </c>
      <c r="D20" s="78">
        <f>SUMIF('手机&amp;平板保底版销售计划数量VS 实际出货'!A:A,B20,'手机&amp;平板保底版销售计划数量VS 实际出货'!H:H)</f>
        <v>0</v>
      </c>
      <c r="E20" s="79">
        <f>SUMIF('手机&amp;平板保底版销售计划数量VS 实际出货'!A:A,B20,'手机&amp;平板保底版销售计划数量VS 实际出货'!I:I)</f>
        <v>8000</v>
      </c>
      <c r="F20" s="79">
        <f>SUMIF('手机&amp;平板保底版销售计划数量VS 实际出货'!A:A,B20,'手机&amp;平板保底版销售计划数量VS 实际出货'!J:J)</f>
        <v>0</v>
      </c>
      <c r="G20" s="80">
        <f>SUMIF('手机&amp;平板保底版销售计划数量VS 实际出货'!A:A,B20,'手机&amp;平板保底版销售计划数量VS 实际出货'!K:K)</f>
        <v>0</v>
      </c>
      <c r="H20" s="80">
        <f>SUMIF('手机&amp;平板保底版销售计划数量VS 实际出货'!A:A,B20,'手机&amp;平板保底版销售计划数量VS 实际出货'!L:L)</f>
        <v>0</v>
      </c>
      <c r="I20" s="78">
        <f>SUMIF('手机&amp;平板保底版销售计划数量VS 实际出货'!A:A,B20,'手机&amp;平板保底版销售计划数量VS 实际出货'!M:M)</f>
        <v>14000</v>
      </c>
      <c r="J20" s="78">
        <f>SUMIF('手机&amp;平板保底版销售计划数量VS 实际出货'!A:A,B20,'手机&amp;平板保底版销售计划数量VS 实际出货'!N:N)</f>
        <v>4130</v>
      </c>
      <c r="K20" s="81">
        <f>SUMIF('手机&amp;平板保底版销售计划数量VS 实际出货'!A:A,B20,'手机&amp;平板保底版销售计划数量VS 实际出货'!O:O)</f>
        <v>15000</v>
      </c>
      <c r="L20" s="81">
        <f>SUMIF('手机&amp;平板保底版销售计划数量VS 实际出货'!A:A,B20,'手机&amp;平板保底版销售计划数量VS 实际出货'!P:P)</f>
        <v>0</v>
      </c>
      <c r="M20" s="82">
        <f>SUMIF('手机&amp;平板保底版销售计划数量VS 实际出货'!A:A,B20,'手机&amp;平板保底版销售计划数量VS 实际出货'!Q:Q)</f>
        <v>20000</v>
      </c>
      <c r="N20" s="82">
        <f>SUMIF('手机&amp;平板保底版销售计划数量VS 实际出货'!A:A,B20,'手机&amp;平板保底版销售计划数量VS 实际出货'!R:R)</f>
        <v>0</v>
      </c>
      <c r="O20" s="78">
        <f>SUMIF('手机&amp;平板保底版销售计划数量VS 实际出货'!A:A,B20,'手机&amp;平板保底版销售计划数量VS 实际出货'!S:S)</f>
        <v>30000</v>
      </c>
      <c r="P20" s="78">
        <f>SUMIF('手机&amp;平板保底版销售计划数量VS 实际出货'!A:A,B20,'手机&amp;平板保底版销售计划数量VS 实际出货'!T:T)</f>
        <v>0</v>
      </c>
      <c r="Q20" s="79">
        <f>SUMIF('手机&amp;平板保底版销售计划数量VS 实际出货'!A:A,B20,'手机&amp;平板保底版销售计划数量VS 实际出货'!U:U)</f>
        <v>30000</v>
      </c>
      <c r="R20" s="79">
        <f>SUMIF('手机&amp;平板保底版销售计划数量VS 实际出货'!A:A,B20,'手机&amp;平板保底版销售计划数量VS 实际出货'!V:V)</f>
        <v>0</v>
      </c>
      <c r="S20" s="80">
        <f>SUMIF('手机&amp;平板保底版销售计划数量VS 实际出货'!A:A,B20,'手机&amp;平板保底版销售计划数量VS 实际出货'!W:W)</f>
        <v>35000</v>
      </c>
      <c r="T20" s="80">
        <f>SUMIF('手机&amp;平板保底版销售计划数量VS 实际出货'!A:A,B20,'手机&amp;平板保底版销售计划数量VS 实际出货'!X:X)</f>
        <v>0</v>
      </c>
      <c r="U20" s="78">
        <f>SUMIF('手机&amp;平板保底版销售计划数量VS 实际出货'!A:A,B20,'手机&amp;平板保底版销售计划数量VS 实际出货'!Y:Y)</f>
        <v>35000</v>
      </c>
      <c r="V20" s="78">
        <f>SUMIF('手机&amp;平板保底版销售计划数量VS 实际出货'!A:A,B20,'手机&amp;平板保底版销售计划数量VS 实际出货'!Z:Z)</f>
        <v>0</v>
      </c>
      <c r="W20" s="79">
        <f>SUMIF('手机&amp;平板保底版销售计划数量VS 实际出货'!A:A,B20,'手机&amp;平板保底版销售计划数量VS 实际出货'!AA:AA)</f>
        <v>35000</v>
      </c>
      <c r="X20" s="79">
        <f>SUMIF('手机&amp;平板保底版销售计划数量VS 实际出货'!A:A,B20,'手机&amp;平板保底版销售计划数量VS 实际出货'!AB:AB)</f>
        <v>0</v>
      </c>
      <c r="Y20" s="80">
        <f>SUMIF('手机&amp;平板保底版销售计划数量VS 实际出货'!A:A,B20,'手机&amp;平板保底版销售计划数量VS 实际出货'!AC:AC)</f>
        <v>35000</v>
      </c>
      <c r="Z20" s="83">
        <f>SUMIF('手机&amp;平板保底版销售计划数量VS 实际出货'!A:A,B20,'手机&amp;平板保底版销售计划数量VS 实际出货'!AD:AD)</f>
        <v>0</v>
      </c>
      <c r="AA20" s="84">
        <f t="shared" si="8"/>
        <v>257000</v>
      </c>
      <c r="AB20" s="84">
        <f t="shared" si="9"/>
        <v>4130</v>
      </c>
    </row>
    <row r="21" customFormat="1" ht="13.85" spans="2:36">
      <c r="B21" s="77" t="s">
        <v>218</v>
      </c>
      <c r="C21" s="78">
        <f>SUMIF('手机&amp;平板保底版销售计划数量VS 实际出货'!A:A,B21,'手机&amp;平板保底版销售计划数量VS 实际出货'!G:G)</f>
        <v>0</v>
      </c>
      <c r="D21" s="78">
        <f>SUMIF('手机&amp;平板保底版销售计划数量VS 实际出货'!A:A,B21,'手机&amp;平板保底版销售计划数量VS 实际出货'!H:H)</f>
        <v>0</v>
      </c>
      <c r="E21" s="79">
        <f>SUMIF('手机&amp;平板保底版销售计划数量VS 实际出货'!A:A,B21,'手机&amp;平板保底版销售计划数量VS 实际出货'!I:I)</f>
        <v>0</v>
      </c>
      <c r="F21" s="79">
        <f>SUMIF('手机&amp;平板保底版销售计划数量VS 实际出货'!A:A,B21,'手机&amp;平板保底版销售计划数量VS 实际出货'!J:J)</f>
        <v>0</v>
      </c>
      <c r="G21" s="80">
        <f>SUMIF('手机&amp;平板保底版销售计划数量VS 实际出货'!A:A,B21,'手机&amp;平板保底版销售计划数量VS 实际出货'!K:K)</f>
        <v>0</v>
      </c>
      <c r="H21" s="80">
        <f>SUMIF('手机&amp;平板保底版销售计划数量VS 实际出货'!A:A,B21,'手机&amp;平板保底版销售计划数量VS 实际出货'!L:L)</f>
        <v>0</v>
      </c>
      <c r="I21" s="78">
        <f>SUMIF('手机&amp;平板保底版销售计划数量VS 实际出货'!A:A,B21,'手机&amp;平板保底版销售计划数量VS 实际出货'!M:M)</f>
        <v>473</v>
      </c>
      <c r="J21" s="78">
        <f>SUMIF('手机&amp;平板保底版销售计划数量VS 实际出货'!A:A,B21,'手机&amp;平板保底版销售计划数量VS 实际出货'!N:N)</f>
        <v>0</v>
      </c>
      <c r="K21" s="81">
        <f>SUMIF('手机&amp;平板保底版销售计划数量VS 实际出货'!A:A,B21,'手机&amp;平板保底版销售计划数量VS 实际出货'!O:O)</f>
        <v>6000</v>
      </c>
      <c r="L21" s="81">
        <f>SUMIF('手机&amp;平板保底版销售计划数量VS 实际出货'!A:A,B21,'手机&amp;平板保底版销售计划数量VS 实际出货'!P:P)</f>
        <v>6000</v>
      </c>
      <c r="M21" s="82">
        <f>SUMIF('手机&amp;平板保底版销售计划数量VS 实际出货'!A:A,B21,'手机&amp;平板保底版销售计划数量VS 实际出货'!Q:Q)</f>
        <v>10000</v>
      </c>
      <c r="N21" s="82">
        <f>SUMIF('手机&amp;平板保底版销售计划数量VS 实际出货'!A:A,B21,'手机&amp;平板保底版销售计划数量VS 实际出货'!R:R)</f>
        <v>6500</v>
      </c>
      <c r="O21" s="78">
        <f>SUMIF('手机&amp;平板保底版销售计划数量VS 实际出货'!A:A,B21,'手机&amp;平板保底版销售计划数量VS 实际出货'!S:S)</f>
        <v>10000</v>
      </c>
      <c r="P21" s="78">
        <f>SUMIF('手机&amp;平板保底版销售计划数量VS 实际出货'!A:A,B21,'手机&amp;平板保底版销售计划数量VS 实际出货'!T:T)</f>
        <v>0</v>
      </c>
      <c r="Q21" s="79">
        <f>SUMIF('手机&amp;平板保底版销售计划数量VS 实际出货'!A:A,B21,'手机&amp;平板保底版销售计划数量VS 实际出货'!U:U)</f>
        <v>10000</v>
      </c>
      <c r="R21" s="79">
        <f>SUMIF('手机&amp;平板保底版销售计划数量VS 实际出货'!A:A,B21,'手机&amp;平板保底版销售计划数量VS 实际出货'!V:V)</f>
        <v>0</v>
      </c>
      <c r="S21" s="80">
        <f>SUMIF('手机&amp;平板保底版销售计划数量VS 实际出货'!A:A,B21,'手机&amp;平板保底版销售计划数量VS 实际出货'!W:W)</f>
        <v>10000</v>
      </c>
      <c r="T21" s="80">
        <f>SUMIF('手机&amp;平板保底版销售计划数量VS 实际出货'!A:A,B21,'手机&amp;平板保底版销售计划数量VS 实际出货'!X:X)</f>
        <v>2500</v>
      </c>
      <c r="U21" s="78">
        <f>SUMIF('手机&amp;平板保底版销售计划数量VS 实际出货'!A:A,B21,'手机&amp;平板保底版销售计划数量VS 实际出货'!Y:Y)</f>
        <v>11000</v>
      </c>
      <c r="V21" s="78">
        <f>SUMIF('手机&amp;平板保底版销售计划数量VS 实际出货'!A:A,B21,'手机&amp;平板保底版销售计划数量VS 实际出货'!Z:Z)</f>
        <v>0</v>
      </c>
      <c r="W21" s="79">
        <f>SUMIF('手机&amp;平板保底版销售计划数量VS 实际出货'!A:A,B21,'手机&amp;平板保底版销售计划数量VS 实际出货'!AA:AA)</f>
        <v>11000</v>
      </c>
      <c r="X21" s="79">
        <f>SUMIF('手机&amp;平板保底版销售计划数量VS 实际出货'!A:A,B21,'手机&amp;平板保底版销售计划数量VS 实际出货'!AB:AB)</f>
        <v>0</v>
      </c>
      <c r="Y21" s="80">
        <f>SUMIF('手机&amp;平板保底版销售计划数量VS 实际出货'!A:A,B21,'手机&amp;平板保底版销售计划数量VS 实际出货'!AC:AC)</f>
        <v>10000</v>
      </c>
      <c r="Z21" s="83">
        <f>SUMIF('手机&amp;平板保底版销售计划数量VS 实际出货'!A:A,B21,'手机&amp;平板保底版销售计划数量VS 实际出货'!AD:AD)</f>
        <v>0</v>
      </c>
      <c r="AA21" s="84">
        <f t="shared" si="8"/>
        <v>78473</v>
      </c>
      <c r="AB21" s="84">
        <f t="shared" si="9"/>
        <v>15000</v>
      </c>
    </row>
    <row r="22" ht="13.85" spans="2:36">
      <c r="B22" s="77" t="s">
        <v>136</v>
      </c>
      <c r="C22" s="78">
        <f>SUMIF('手机&amp;平板保底版销售计划数量VS 实际出货'!A:A,B22,'手机&amp;平板保底版销售计划数量VS 实际出货'!G:G)</f>
        <v>75680</v>
      </c>
      <c r="D22" s="78">
        <f>SUMIF('手机&amp;平板保底版销售计划数量VS 实际出货'!A:A,B22,'手机&amp;平板保底版销售计划数量VS 实际出货'!H:H)</f>
        <v>75680</v>
      </c>
      <c r="E22" s="79">
        <f>SUMIF('手机&amp;平板保底版销售计划数量VS 实际出货'!A:A,B22,'手机&amp;平板保底版销售计划数量VS 实际出货'!I:I)</f>
        <v>76000</v>
      </c>
      <c r="F22" s="79">
        <f>SUMIF('手机&amp;平板保底版销售计划数量VS 实际出货'!A:A,B22,'手机&amp;平板保底版销售计划数量VS 实际出货'!J:J)</f>
        <v>79860</v>
      </c>
      <c r="G22" s="80">
        <f>SUMIF('手机&amp;平板保底版销售计划数量VS 实际出货'!A:A,B22,'手机&amp;平板保底版销售计划数量VS 实际出货'!K:K)</f>
        <v>76000</v>
      </c>
      <c r="H22" s="80">
        <f>SUMIF('手机&amp;平板保底版销售计划数量VS 实际出货'!A:A,B22,'手机&amp;平板保底版销售计划数量VS 实际出货'!L:L)</f>
        <v>57810</v>
      </c>
      <c r="I22" s="78">
        <f>SUMIF('手机&amp;平板保底版销售计划数量VS 实际出货'!A:A,B22,'手机&amp;平板保底版销售计划数量VS 实际出货'!M:M)</f>
        <v>60000</v>
      </c>
      <c r="J22" s="78">
        <f>SUMIF('手机&amp;平板保底版销售计划数量VS 实际出货'!A:A,B22,'手机&amp;平板保底版销售计划数量VS 实际出货'!N:N)</f>
        <v>62952</v>
      </c>
      <c r="K22" s="81">
        <f>SUMIF('手机&amp;平板保底版销售计划数量VS 实际出货'!A:A,B22,'手机&amp;平板保底版销售计划数量VS 实际出货'!O:O)</f>
        <v>60000</v>
      </c>
      <c r="L22" s="81">
        <f>SUMIF('手机&amp;平板保底版销售计划数量VS 实际出货'!A:A,B22,'手机&amp;平板保底版销售计划数量VS 实际出货'!P:P)</f>
        <v>84834</v>
      </c>
      <c r="M22" s="82">
        <f>SUMIF('手机&amp;平板保底版销售计划数量VS 实际出货'!A:A,B22,'手机&amp;平板保底版销售计划数量VS 实际出货'!Q:Q)</f>
        <v>55000</v>
      </c>
      <c r="N22" s="82">
        <f>SUMIF('手机&amp;平板保底版销售计划数量VS 实际出货'!A:A,B22,'手机&amp;平板保底版销售计划数量VS 实际出货'!R:R)</f>
        <v>106120</v>
      </c>
      <c r="O22" s="78">
        <f>SUMIF('手机&amp;平板保底版销售计划数量VS 实际出货'!A:A,B22,'手机&amp;平板保底版销售计划数量VS 实际出货'!S:S)</f>
        <v>45000</v>
      </c>
      <c r="P22" s="78">
        <f>SUMIF('手机&amp;平板保底版销售计划数量VS 实际出货'!A:A,B22,'手机&amp;平板保底版销售计划数量VS 实际出货'!T:T)</f>
        <v>178550</v>
      </c>
      <c r="Q22" s="79">
        <f>SUMIF('手机&amp;平板保底版销售计划数量VS 实际出货'!A:A,B22,'手机&amp;平板保底版销售计划数量VS 实际出货'!U:U)</f>
        <v>50000</v>
      </c>
      <c r="R22" s="79">
        <f>SUMIF('手机&amp;平板保底版销售计划数量VS 实际出货'!A:A,B22,'手机&amp;平板保底版销售计划数量VS 实际出货'!V:V)</f>
        <v>311080</v>
      </c>
      <c r="S22" s="80">
        <f>SUMIF('手机&amp;平板保底版销售计划数量VS 实际出货'!A:A,B22,'手机&amp;平板保底版销售计划数量VS 实际出货'!W:W)</f>
        <v>50000</v>
      </c>
      <c r="T22" s="80">
        <f>SUMIF('手机&amp;平板保底版销售计划数量VS 实际出货'!A:A,B22,'手机&amp;平板保底版销售计划数量VS 实际出货'!X:X)</f>
        <v>294850</v>
      </c>
      <c r="U22" s="78">
        <f>SUMIF('手机&amp;平板保底版销售计划数量VS 实际出货'!A:A,B22,'手机&amp;平板保底版销售计划数量VS 实际出货'!Y:Y)</f>
        <v>50000</v>
      </c>
      <c r="V22" s="78">
        <f>SUMIF('手机&amp;平板保底版销售计划数量VS 实际出货'!A:A,B22,'手机&amp;平板保底版销售计划数量VS 实际出货'!Z:Z)</f>
        <v>121740</v>
      </c>
      <c r="W22" s="79">
        <f>SUMIF('手机&amp;平板保底版销售计划数量VS 实际出货'!A:A,B22,'手机&amp;平板保底版销售计划数量VS 实际出货'!AA:AA)</f>
        <v>45465</v>
      </c>
      <c r="X22" s="79">
        <f>SUMIF('手机&amp;平板保底版销售计划数量VS 实际出货'!A:A,B22,'手机&amp;平板保底版销售计划数量VS 实际出货'!AB:AB)</f>
        <v>94594</v>
      </c>
      <c r="Y22" s="80">
        <f>SUMIF('手机&amp;平板保底版销售计划数量VS 实际出货'!A:A,B22,'手机&amp;平板保底版销售计划数量VS 实际出货'!AC:AC)</f>
        <v>50000</v>
      </c>
      <c r="Z22" s="83">
        <f>SUMIF('手机&amp;平板保底版销售计划数量VS 实际出货'!A:A,B22,'手机&amp;平板保底版销售计划数量VS 实际出货'!AD:AD)</f>
        <v>40204</v>
      </c>
      <c r="AA22" s="84">
        <f t="shared" si="8"/>
        <v>693145</v>
      </c>
      <c r="AB22" s="84">
        <f t="shared" si="9"/>
        <v>1508274</v>
      </c>
    </row>
    <row r="23" ht="13.85" spans="2:36">
      <c r="B23" s="85" t="s">
        <v>149</v>
      </c>
      <c r="C23" s="78">
        <f>SUMIF('手机&amp;平板保底版销售计划数量VS 实际出货'!A:A,B23,'手机&amp;平板保底版销售计划数量VS 实际出货'!G:G)</f>
        <v>17592</v>
      </c>
      <c r="D23" s="78">
        <f>SUMIF('手机&amp;平板保底版销售计划数量VS 实际出货'!A:A,B23,'手机&amp;平板保底版销售计划数量VS 实际出货'!H:H)</f>
        <v>21500</v>
      </c>
      <c r="E23" s="79">
        <f>SUMIF('手机&amp;平板保底版销售计划数量VS 实际出货'!A:A,B23,'手机&amp;平板保底版销售计划数量VS 实际出货'!I:I)</f>
        <v>12000</v>
      </c>
      <c r="F23" s="79">
        <f>SUMIF('手机&amp;平板保底版销售计划数量VS 实际出货'!A:A,B23,'手机&amp;平板保底版销售计划数量VS 实际出货'!J:J)</f>
        <v>10000</v>
      </c>
      <c r="G23" s="80">
        <f>SUMIF('手机&amp;平板保底版销售计划数量VS 实际出货'!A:A,B23,'手机&amp;平板保底版销售计划数量VS 实际出货'!K:K)</f>
        <v>10000</v>
      </c>
      <c r="H23" s="80">
        <f>SUMIF('手机&amp;平板保底版销售计划数量VS 实际出货'!A:A,B23,'手机&amp;平板保底版销售计划数量VS 实际出货'!L:L)</f>
        <v>22000</v>
      </c>
      <c r="I23" s="78">
        <f>SUMIF('手机&amp;平板保底版销售计划数量VS 实际出货'!A:A,B23,'手机&amp;平板保底版销售计划数量VS 实际出货'!M:M)</f>
        <v>10000</v>
      </c>
      <c r="J23" s="78">
        <f>SUMIF('手机&amp;平板保底版销售计划数量VS 实际出货'!A:A,B23,'手机&amp;平板保底版销售计划数量VS 实际出货'!N:N)</f>
        <v>0</v>
      </c>
      <c r="K23" s="81">
        <f>SUMIF('手机&amp;平板保底版销售计划数量VS 实际出货'!A:A,B23,'手机&amp;平板保底版销售计划数量VS 实际出货'!O:O)</f>
        <v>19000</v>
      </c>
      <c r="L23" s="81">
        <f>SUMIF('手机&amp;平板保底版销售计划数量VS 实际出货'!A:A,B23,'手机&amp;平板保底版销售计划数量VS 实际出货'!P:P)</f>
        <v>0</v>
      </c>
      <c r="M23" s="82">
        <f>SUMIF('手机&amp;平板保底版销售计划数量VS 实际出货'!A:A,B23,'手机&amp;平板保底版销售计划数量VS 实际出货'!Q:Q)</f>
        <v>20000</v>
      </c>
      <c r="N23" s="82">
        <f>SUMIF('手机&amp;平板保底版销售计划数量VS 实际出货'!A:A,B23,'手机&amp;平板保底版销售计划数量VS 实际出货'!R:R)</f>
        <v>0</v>
      </c>
      <c r="O23" s="78">
        <f>SUMIF('手机&amp;平板保底版销售计划数量VS 实际出货'!A:A,B23,'手机&amp;平板保底版销售计划数量VS 实际出货'!S:S)</f>
        <v>20000</v>
      </c>
      <c r="P23" s="78">
        <f>SUMIF('手机&amp;平板保底版销售计划数量VS 实际出货'!A:A,B23,'手机&amp;平板保底版销售计划数量VS 实际出货'!T:T)</f>
        <v>0</v>
      </c>
      <c r="Q23" s="79">
        <f>SUMIF('手机&amp;平板保底版销售计划数量VS 实际出货'!A:A,B23,'手机&amp;平板保底版销售计划数量VS 实际出货'!U:U)</f>
        <v>19000</v>
      </c>
      <c r="R23" s="79">
        <f>SUMIF('手机&amp;平板保底版销售计划数量VS 实际出货'!A:A,B23,'手机&amp;平板保底版销售计划数量VS 实际出货'!V:V)</f>
        <v>10760</v>
      </c>
      <c r="S23" s="80">
        <f>SUMIF('手机&amp;平板保底版销售计划数量VS 实际出货'!A:A,B23,'手机&amp;平板保底版销售计划数量VS 实际出货'!W:W)</f>
        <v>10000</v>
      </c>
      <c r="T23" s="80">
        <f>SUMIF('手机&amp;平板保底版销售计划数量VS 实际出货'!A:A,B23,'手机&amp;平板保底版销售计划数量VS 实际出货'!X:X)</f>
        <v>0</v>
      </c>
      <c r="U23" s="78">
        <f>SUMIF('手机&amp;平板保底版销售计划数量VS 实际出货'!A:A,B23,'手机&amp;平板保底版销售计划数量VS 实际出货'!Y:Y)</f>
        <v>10000</v>
      </c>
      <c r="V23" s="78">
        <f>SUMIF('手机&amp;平板保底版销售计划数量VS 实际出货'!A:A,B23,'手机&amp;平板保底版销售计划数量VS 实际出货'!Z:Z)</f>
        <v>0</v>
      </c>
      <c r="W23" s="79">
        <f>SUMIF('手机&amp;平板保底版销售计划数量VS 实际出货'!A:A,B23,'手机&amp;平板保底版销售计划数量VS 实际出货'!AA:AA)</f>
        <v>19000</v>
      </c>
      <c r="X23" s="79">
        <f>SUMIF('手机&amp;平板保底版销售计划数量VS 实际出货'!A:A,B23,'手机&amp;平板保底版销售计划数量VS 实际出货'!AB:AB)</f>
        <v>0</v>
      </c>
      <c r="Y23" s="80">
        <f>SUMIF('手机&amp;平板保底版销售计划数量VS 实际出货'!A:A,B23,'手机&amp;平板保底版销售计划数量VS 实际出货'!AC:AC)</f>
        <v>10000</v>
      </c>
      <c r="Z23" s="83">
        <f>SUMIF('手机&amp;平板保底版销售计划数量VS 实际出货'!A:A,B23,'手机&amp;平板保底版销售计划数量VS 实际出货'!AD:AD)</f>
        <v>0</v>
      </c>
      <c r="AA23" s="84">
        <f t="shared" ref="AA23:AA29" si="10">C23+E23+G23+I23+K23+M23+O23+Q23+S23+U23+W23+Y23</f>
        <v>176592</v>
      </c>
      <c r="AB23" s="84">
        <f t="shared" si="9"/>
        <v>64260</v>
      </c>
    </row>
    <row r="24" customFormat="1" ht="13.85" spans="2:36">
      <c r="B24" s="77" t="s">
        <v>177</v>
      </c>
      <c r="C24" s="78">
        <f>SUMIF('手机&amp;平板保底版销售计划数量VS 实际出货'!A:A,B24,'手机&amp;平板保底版销售计划数量VS 实际出货'!G:G)</f>
        <v>0</v>
      </c>
      <c r="D24" s="78">
        <f>SUMIF('手机&amp;平板保底版销售计划数量VS 实际出货'!A:A,B24,'手机&amp;平板保底版销售计划数量VS 实际出货'!H:H)</f>
        <v>0</v>
      </c>
      <c r="E24" s="79">
        <f>SUMIF('手机&amp;平板保底版销售计划数量VS 实际出货'!A:A,B24,'手机&amp;平板保底版销售计划数量VS 实际出货'!I:I)</f>
        <v>0</v>
      </c>
      <c r="F24" s="79">
        <f>SUMIF('手机&amp;平板保底版销售计划数量VS 实际出货'!A:A,B24,'手机&amp;平板保底版销售计划数量VS 实际出货'!J:J)</f>
        <v>0</v>
      </c>
      <c r="G24" s="80">
        <f>SUMIF('手机&amp;平板保底版销售计划数量VS 实际出货'!A:A,B24,'手机&amp;平板保底版销售计划数量VS 实际出货'!K:K)</f>
        <v>0</v>
      </c>
      <c r="H24" s="80">
        <f>SUMIF('手机&amp;平板保底版销售计划数量VS 实际出货'!A:A,B24,'手机&amp;平板保底版销售计划数量VS 实际出货'!L:L)</f>
        <v>0</v>
      </c>
      <c r="I24" s="78">
        <f>SUMIF('手机&amp;平板保底版销售计划数量VS 实际出货'!A:A,B24,'手机&amp;平板保底版销售计划数量VS 实际出货'!M:M)</f>
        <v>0</v>
      </c>
      <c r="J24" s="78">
        <f>SUMIF('手机&amp;平板保底版销售计划数量VS 实际出货'!A:A,B24,'手机&amp;平板保底版销售计划数量VS 实际出货'!N:N)</f>
        <v>0</v>
      </c>
      <c r="K24" s="81">
        <f>SUMIF('手机&amp;平板保底版销售计划数量VS 实际出货'!A:A,B24,'手机&amp;平板保底版销售计划数量VS 实际出货'!O:O)</f>
        <v>0</v>
      </c>
      <c r="L24" s="81">
        <f>SUMIF('手机&amp;平板保底版销售计划数量VS 实际出货'!A:A,B24,'手机&amp;平板保底版销售计划数量VS 实际出货'!P:P)</f>
        <v>0</v>
      </c>
      <c r="M24" s="82">
        <f>SUMIF('手机&amp;平板保底版销售计划数量VS 实际出货'!A:A,B24,'手机&amp;平板保底版销售计划数量VS 实际出货'!Q:Q)</f>
        <v>0</v>
      </c>
      <c r="N24" s="82">
        <f>SUMIF('手机&amp;平板保底版销售计划数量VS 实际出货'!A:A,B24,'手机&amp;平板保底版销售计划数量VS 实际出货'!R:R)</f>
        <v>0</v>
      </c>
      <c r="O24" s="78">
        <f>SUMIF('手机&amp;平板保底版销售计划数量VS 实际出货'!A:A,B24,'手机&amp;平板保底版销售计划数量VS 实际出货'!S:S)</f>
        <v>0</v>
      </c>
      <c r="P24" s="78">
        <f>SUMIF('手机&amp;平板保底版销售计划数量VS 实际出货'!A:A,B24,'手机&amp;平板保底版销售计划数量VS 实际出货'!T:T)</f>
        <v>0</v>
      </c>
      <c r="Q24" s="79">
        <f>SUMIF('手机&amp;平板保底版销售计划数量VS 实际出货'!A:A,B24,'手机&amp;平板保底版销售计划数量VS 实际出货'!U:U)</f>
        <v>0</v>
      </c>
      <c r="R24" s="79">
        <f>SUMIF('手机&amp;平板保底版销售计划数量VS 实际出货'!A:A,B24,'手机&amp;平板保底版销售计划数量VS 实际出货'!V:V)</f>
        <v>0</v>
      </c>
      <c r="S24" s="80">
        <f>SUMIF('手机&amp;平板保底版销售计划数量VS 实际出货'!A:A,B24,'手机&amp;平板保底版销售计划数量VS 实际出货'!W:W)</f>
        <v>0</v>
      </c>
      <c r="T24" s="80">
        <f>SUMIF('手机&amp;平板保底版销售计划数量VS 实际出货'!A:A,B24,'手机&amp;平板保底版销售计划数量VS 实际出货'!X:X)</f>
        <v>20000</v>
      </c>
      <c r="U24" s="78">
        <f>SUMIF('手机&amp;平板保底版销售计划数量VS 实际出货'!A:A,B24,'手机&amp;平板保底版销售计划数量VS 实际出货'!Y:Y)</f>
        <v>0</v>
      </c>
      <c r="V24" s="78">
        <f>SUMIF('手机&amp;平板保底版销售计划数量VS 实际出货'!A:A,B24,'手机&amp;平板保底版销售计划数量VS 实际出货'!Z:Z)</f>
        <v>0</v>
      </c>
      <c r="W24" s="79">
        <f>SUMIF('手机&amp;平板保底版销售计划数量VS 实际出货'!A:A,B24,'手机&amp;平板保底版销售计划数量VS 实际出货'!AA:AA)</f>
        <v>0</v>
      </c>
      <c r="X24" s="79">
        <f>SUMIF('手机&amp;平板保底版销售计划数量VS 实际出货'!A:A,B24,'手机&amp;平板保底版销售计划数量VS 实际出货'!AB:AB)</f>
        <v>0</v>
      </c>
      <c r="Y24" s="80">
        <f>SUMIF('手机&amp;平板保底版销售计划数量VS 实际出货'!A:A,B24,'手机&amp;平板保底版销售计划数量VS 实际出货'!AC:AC)</f>
        <v>0</v>
      </c>
      <c r="Z24" s="83">
        <f>SUMIF('手机&amp;平板保底版销售计划数量VS 实际出货'!A:A,B24,'手机&amp;平板保底版销售计划数量VS 实际出货'!AD:AD)</f>
        <v>0</v>
      </c>
      <c r="AA24" s="84">
        <f t="shared" si="10"/>
        <v>0</v>
      </c>
      <c r="AB24" s="84">
        <f t="shared" si="9"/>
        <v>20000</v>
      </c>
    </row>
    <row r="25" customFormat="1" ht="13.85" spans="2:36">
      <c r="B25" s="77" t="s">
        <v>202</v>
      </c>
      <c r="C25" s="78">
        <f>SUMIF('手机&amp;平板保底版销售计划数量VS 实际出货'!A:A,B25,'手机&amp;平板保底版销售计划数量VS 实际出货'!G:G)</f>
        <v>0</v>
      </c>
      <c r="D25" s="78">
        <f>SUMIF('手机&amp;平板保底版销售计划数量VS 实际出货'!A:A,B25,'手机&amp;平板保底版销售计划数量VS 实际出货'!H:H)</f>
        <v>0</v>
      </c>
      <c r="E25" s="79">
        <f>SUMIF('手机&amp;平板保底版销售计划数量VS 实际出货'!A:A,B25,'手机&amp;平板保底版销售计划数量VS 实际出货'!I:I)</f>
        <v>0</v>
      </c>
      <c r="F25" s="79">
        <f>SUMIF('手机&amp;平板保底版销售计划数量VS 实际出货'!A:A,B25,'手机&amp;平板保底版销售计划数量VS 实际出货'!J:J)</f>
        <v>0</v>
      </c>
      <c r="G25" s="80">
        <f>SUMIF('手机&amp;平板保底版销售计划数量VS 实际出货'!A:A,B25,'手机&amp;平板保底版销售计划数量VS 实际出货'!K:K)</f>
        <v>20000</v>
      </c>
      <c r="H25" s="80">
        <f>SUMIF('手机&amp;平板保底版销售计划数量VS 实际出货'!A:A,B25,'手机&amp;平板保底版销售计划数量VS 实际出货'!L:L)</f>
        <v>20000</v>
      </c>
      <c r="I25" s="78">
        <f>SUMIF('手机&amp;平板保底版销售计划数量VS 实际出货'!A:A,B25,'手机&amp;平板保底版销售计划数量VS 实际出货'!M:M)</f>
        <v>0</v>
      </c>
      <c r="J25" s="78">
        <f>SUMIF('手机&amp;平板保底版销售计划数量VS 实际出货'!A:A,B25,'手机&amp;平板保底版销售计划数量VS 实际出货'!N:N)</f>
        <v>0</v>
      </c>
      <c r="K25" s="81">
        <f>SUMIF('手机&amp;平板保底版销售计划数量VS 实际出货'!A:A,B25,'手机&amp;平板保底版销售计划数量VS 实际出货'!O:O)</f>
        <v>10000</v>
      </c>
      <c r="L25" s="81">
        <f>SUMIF('手机&amp;平板保底版销售计划数量VS 实际出货'!A:A,B25,'手机&amp;平板保底版销售计划数量VS 实际出货'!P:P)</f>
        <v>0</v>
      </c>
      <c r="M25" s="82">
        <f>SUMIF('手机&amp;平板保底版销售计划数量VS 实际出货'!A:A,B25,'手机&amp;平板保底版销售计划数量VS 实际出货'!Q:Q)</f>
        <v>20000</v>
      </c>
      <c r="N25" s="82">
        <f>SUMIF('手机&amp;平板保底版销售计划数量VS 实际出货'!A:A,B25,'手机&amp;平板保底版销售计划数量VS 实际出货'!R:R)</f>
        <v>0</v>
      </c>
      <c r="O25" s="78">
        <f>SUMIF('手机&amp;平板保底版销售计划数量VS 实际出货'!A:A,B25,'手机&amp;平板保底版销售计划数量VS 实际出货'!S:S)</f>
        <v>10000</v>
      </c>
      <c r="P25" s="78">
        <f>SUMIF('手机&amp;平板保底版销售计划数量VS 实际出货'!A:A,B25,'手机&amp;平板保底版销售计划数量VS 实际出货'!T:T)</f>
        <v>0</v>
      </c>
      <c r="Q25" s="79">
        <f>SUMIF('手机&amp;平板保底版销售计划数量VS 实际出货'!A:A,B25,'手机&amp;平板保底版销售计划数量VS 实际出货'!U:U)</f>
        <v>20000</v>
      </c>
      <c r="R25" s="79">
        <f>SUMIF('手机&amp;平板保底版销售计划数量VS 实际出货'!A:A,B25,'手机&amp;平板保底版销售计划数量VS 实际出货'!V:V)</f>
        <v>0</v>
      </c>
      <c r="S25" s="80">
        <f>SUMIF('手机&amp;平板保底版销售计划数量VS 实际出货'!A:A,B25,'手机&amp;平板保底版销售计划数量VS 实际出货'!W:W)</f>
        <v>10000</v>
      </c>
      <c r="T25" s="80">
        <f>SUMIF('手机&amp;平板保底版销售计划数量VS 实际出货'!A:A,B25,'手机&amp;平板保底版销售计划数量VS 实际出货'!X:X)</f>
        <v>0</v>
      </c>
      <c r="U25" s="78">
        <f>SUMIF('手机&amp;平板保底版销售计划数量VS 实际出货'!A:A,B25,'手机&amp;平板保底版销售计划数量VS 实际出货'!Y:Y)</f>
        <v>10000</v>
      </c>
      <c r="V25" s="78">
        <f>SUMIF('手机&amp;平板保底版销售计划数量VS 实际出货'!A:A,B25,'手机&amp;平板保底版销售计划数量VS 实际出货'!Z:Z)</f>
        <v>0</v>
      </c>
      <c r="W25" s="79">
        <f>SUMIF('手机&amp;平板保底版销售计划数量VS 实际出货'!A:A,B25,'手机&amp;平板保底版销售计划数量VS 实际出货'!AA:AA)</f>
        <v>10000</v>
      </c>
      <c r="X25" s="79">
        <f>SUMIF('手机&amp;平板保底版销售计划数量VS 实际出货'!A:A,B25,'手机&amp;平板保底版销售计划数量VS 实际出货'!AB:AB)</f>
        <v>0</v>
      </c>
      <c r="Y25" s="80">
        <f>SUMIF('手机&amp;平板保底版销售计划数量VS 实际出货'!A:A,B25,'手机&amp;平板保底版销售计划数量VS 实际出货'!AC:AC)</f>
        <v>0</v>
      </c>
      <c r="Z25" s="83">
        <f>SUMIF('手机&amp;平板保底版销售计划数量VS 实际出货'!A:A,B25,'手机&amp;平板保底版销售计划数量VS 实际出货'!AD:AD)</f>
        <v>0</v>
      </c>
      <c r="AA25" s="84">
        <f t="shared" si="10"/>
        <v>110000</v>
      </c>
      <c r="AB25" s="84">
        <f t="shared" si="9"/>
        <v>20000</v>
      </c>
    </row>
    <row r="26" customFormat="1" ht="13.85" spans="2:36">
      <c r="B26" s="77" t="s">
        <v>171</v>
      </c>
      <c r="C26" s="78">
        <f>SUMIF('手机&amp;平板保底版销售计划数量VS 实际出货'!A:A,B26,'手机&amp;平板保底版销售计划数量VS 实际出货'!G:G)</f>
        <v>0</v>
      </c>
      <c r="D26" s="78">
        <f>SUMIF('手机&amp;平板保底版销售计划数量VS 实际出货'!A:A,B26,'手机&amp;平板保底版销售计划数量VS 实际出货'!H:H)</f>
        <v>0</v>
      </c>
      <c r="E26" s="79">
        <f>SUMIF('手机&amp;平板保底版销售计划数量VS 实际出货'!A:A,B26,'手机&amp;平板保底版销售计划数量VS 实际出货'!I:I)</f>
        <v>0</v>
      </c>
      <c r="F26" s="79">
        <f>SUMIF('手机&amp;平板保底版销售计划数量VS 实际出货'!A:A,B26,'手机&amp;平板保底版销售计划数量VS 实际出货'!J:J)</f>
        <v>0</v>
      </c>
      <c r="G26" s="80">
        <f>SUMIF('手机&amp;平板保底版销售计划数量VS 实际出货'!A:A,B26,'手机&amp;平板保底版销售计划数量VS 实际出货'!K:K)</f>
        <v>0</v>
      </c>
      <c r="H26" s="80">
        <f>SUMIF('手机&amp;平板保底版销售计划数量VS 实际出货'!A:A,B26,'手机&amp;平板保底版销售计划数量VS 实际出货'!L:L)</f>
        <v>0</v>
      </c>
      <c r="I26" s="78">
        <f>SUMIF('手机&amp;平板保底版销售计划数量VS 实际出货'!A:A,B26,'手机&amp;平板保底版销售计划数量VS 实际出货'!M:M)</f>
        <v>0</v>
      </c>
      <c r="J26" s="78">
        <f>SUMIF('手机&amp;平板保底版销售计划数量VS 实际出货'!A:A,B26,'手机&amp;平板保底版销售计划数量VS 实际出货'!N:N)</f>
        <v>0</v>
      </c>
      <c r="K26" s="81">
        <f>SUMIF('手机&amp;平板保底版销售计划数量VS 实际出货'!A:A,B26,'手机&amp;平板保底版销售计划数量VS 实际出货'!O:O)</f>
        <v>0</v>
      </c>
      <c r="L26" s="81">
        <f>SUMIF('手机&amp;平板保底版销售计划数量VS 实际出货'!A:A,B26,'手机&amp;平板保底版销售计划数量VS 实际出货'!P:P)</f>
        <v>0</v>
      </c>
      <c r="M26" s="82">
        <f>SUMIF('手机&amp;平板保底版销售计划数量VS 实际出货'!A:A,B26,'手机&amp;平板保底版销售计划数量VS 实际出货'!Q:Q)</f>
        <v>0</v>
      </c>
      <c r="N26" s="82">
        <f>SUMIF('手机&amp;平板保底版销售计划数量VS 实际出货'!A:A,B26,'手机&amp;平板保底版销售计划数量VS 实际出货'!R:R)</f>
        <v>0</v>
      </c>
      <c r="O26" s="78">
        <f>SUMIF('手机&amp;平板保底版销售计划数量VS 实际出货'!A:A,B26,'手机&amp;平板保底版销售计划数量VS 实际出货'!S:S)</f>
        <v>0</v>
      </c>
      <c r="P26" s="78">
        <f>SUMIF('手机&amp;平板保底版销售计划数量VS 实际出货'!A:A,B26,'手机&amp;平板保底版销售计划数量VS 实际出货'!T:T)</f>
        <v>0</v>
      </c>
      <c r="Q26" s="79">
        <f>SUMIF('手机&amp;平板保底版销售计划数量VS 实际出货'!A:A,B26,'手机&amp;平板保底版销售计划数量VS 实际出货'!U:U)</f>
        <v>0</v>
      </c>
      <c r="R26" s="79">
        <f>SUMIF('手机&amp;平板保底版销售计划数量VS 实际出货'!A:A,B26,'手机&amp;平板保底版销售计划数量VS 实际出货'!V:V)</f>
        <v>0</v>
      </c>
      <c r="S26" s="80">
        <f>SUMIF('手机&amp;平板保底版销售计划数量VS 实际出货'!A:A,B26,'手机&amp;平板保底版销售计划数量VS 实际出货'!W:W)</f>
        <v>0</v>
      </c>
      <c r="T26" s="80">
        <f>SUMIF('手机&amp;平板保底版销售计划数量VS 实际出货'!A:A,B26,'手机&amp;平板保底版销售计划数量VS 实际出货'!X:X)</f>
        <v>10000</v>
      </c>
      <c r="U26" s="78">
        <f>SUMIF('手机&amp;平板保底版销售计划数量VS 实际出货'!A:A,B26,'手机&amp;平板保底版销售计划数量VS 实际出货'!Y:Y)</f>
        <v>0</v>
      </c>
      <c r="V26" s="78">
        <f>SUMIF('手机&amp;平板保底版销售计划数量VS 实际出货'!A:A,B26,'手机&amp;平板保底版销售计划数量VS 实际出货'!Z:Z)</f>
        <v>0</v>
      </c>
      <c r="W26" s="79">
        <f>SUMIF('手机&amp;平板保底版销售计划数量VS 实际出货'!A:A,B26,'手机&amp;平板保底版销售计划数量VS 实际出货'!AA:AA)</f>
        <v>0</v>
      </c>
      <c r="X26" s="79">
        <f>SUMIF('手机&amp;平板保底版销售计划数量VS 实际出货'!A:A,B26,'手机&amp;平板保底版销售计划数量VS 实际出货'!AB:AB)</f>
        <v>0</v>
      </c>
      <c r="Y26" s="80">
        <f>SUMIF('手机&amp;平板保底版销售计划数量VS 实际出货'!A:A,B26,'手机&amp;平板保底版销售计划数量VS 实际出货'!AC:AC)</f>
        <v>0</v>
      </c>
      <c r="Z26" s="83">
        <f>SUMIF('手机&amp;平板保底版销售计划数量VS 实际出货'!A:A,B26,'手机&amp;平板保底版销售计划数量VS 实际出货'!AD:AD)</f>
        <v>0</v>
      </c>
      <c r="AA26" s="84">
        <f t="shared" si="10"/>
        <v>0</v>
      </c>
      <c r="AB26" s="84">
        <f t="shared" si="9"/>
        <v>10000</v>
      </c>
    </row>
    <row r="27" ht="13.85" spans="2:36">
      <c r="B27" s="77" t="s">
        <v>180</v>
      </c>
      <c r="C27" s="78">
        <f>SUMIF('手机&amp;平板保底版销售计划数量VS 实际出货'!A:A,B27,'手机&amp;平板保底版销售计划数量VS 实际出货'!G:G)</f>
        <v>0</v>
      </c>
      <c r="D27" s="78">
        <f>SUMIF('手机&amp;平板保底版销售计划数量VS 实际出货'!A:A,B27,'手机&amp;平板保底版销售计划数量VS 实际出货'!H:H)</f>
        <v>0</v>
      </c>
      <c r="E27" s="79">
        <f>SUMIF('手机&amp;平板保底版销售计划数量VS 实际出货'!A:A,B27,'手机&amp;平板保底版销售计划数量VS 实际出货'!I:I)</f>
        <v>0</v>
      </c>
      <c r="F27" s="79">
        <f>SUMIF('手机&amp;平板保底版销售计划数量VS 实际出货'!A:A,B27,'手机&amp;平板保底版销售计划数量VS 实际出货'!J:J)</f>
        <v>0</v>
      </c>
      <c r="G27" s="80">
        <f>SUMIF('手机&amp;平板保底版销售计划数量VS 实际出货'!A:A,B27,'手机&amp;平板保底版销售计划数量VS 实际出货'!K:K)</f>
        <v>0</v>
      </c>
      <c r="H27" s="80">
        <f>SUMIF('手机&amp;平板保底版销售计划数量VS 实际出货'!A:A,B27,'手机&amp;平板保底版销售计划数量VS 实际出货'!L:L)</f>
        <v>0</v>
      </c>
      <c r="I27" s="78">
        <f>SUMIF('手机&amp;平板保底版销售计划数量VS 实际出货'!A:A,B27,'手机&amp;平板保底版销售计划数量VS 实际出货'!M:M)</f>
        <v>0</v>
      </c>
      <c r="J27" s="78">
        <f>SUMIF('手机&amp;平板保底版销售计划数量VS 实际出货'!A:A,B27,'手机&amp;平板保底版销售计划数量VS 实际出货'!N:N)</f>
        <v>0</v>
      </c>
      <c r="K27" s="81">
        <f>SUMIF('手机&amp;平板保底版销售计划数量VS 实际出货'!A:A,B27,'手机&amp;平板保底版销售计划数量VS 实际出货'!O:O)</f>
        <v>0</v>
      </c>
      <c r="L27" s="81">
        <f>SUMIF('手机&amp;平板保底版销售计划数量VS 实际出货'!A:A,B27,'手机&amp;平板保底版销售计划数量VS 实际出货'!P:P)</f>
        <v>0</v>
      </c>
      <c r="M27" s="82">
        <f>SUMIF('手机&amp;平板保底版销售计划数量VS 实际出货'!A:A,B27,'手机&amp;平板保底版销售计划数量VS 实际出货'!Q:Q)</f>
        <v>0</v>
      </c>
      <c r="N27" s="82">
        <f>SUMIF('手机&amp;平板保底版销售计划数量VS 实际出货'!A:A,B27,'手机&amp;平板保底版销售计划数量VS 实际出货'!R:R)</f>
        <v>0</v>
      </c>
      <c r="O27" s="78">
        <f>SUMIF('手机&amp;平板保底版销售计划数量VS 实际出货'!A:A,B27,'手机&amp;平板保底版销售计划数量VS 实际出货'!S:S)</f>
        <v>0</v>
      </c>
      <c r="P27" s="78">
        <f>SUMIF('手机&amp;平板保底版销售计划数量VS 实际出货'!A:A,B27,'手机&amp;平板保底版销售计划数量VS 实际出货'!T:T)</f>
        <v>0</v>
      </c>
      <c r="Q27" s="79">
        <f>SUMIF('手机&amp;平板保底版销售计划数量VS 实际出货'!A:A,B27,'手机&amp;平板保底版销售计划数量VS 实际出货'!U:U)</f>
        <v>0</v>
      </c>
      <c r="R27" s="79">
        <f>SUMIF('手机&amp;平板保底版销售计划数量VS 实际出货'!A:A,B27,'手机&amp;平板保底版销售计划数量VS 实际出货'!V:V)</f>
        <v>0</v>
      </c>
      <c r="S27" s="80">
        <f>SUMIF('手机&amp;平板保底版销售计划数量VS 实际出货'!A:A,B27,'手机&amp;平板保底版销售计划数量VS 实际出货'!W:W)</f>
        <v>0</v>
      </c>
      <c r="T27" s="80">
        <f>SUMIF('手机&amp;平板保底版销售计划数量VS 实际出货'!A:A,B27,'手机&amp;平板保底版销售计划数量VS 实际出货'!X:X)</f>
        <v>0</v>
      </c>
      <c r="U27" s="78">
        <f>SUMIF('手机&amp;平板保底版销售计划数量VS 实际出货'!A:A,B27,'手机&amp;平板保底版销售计划数量VS 实际出货'!Y:Y)</f>
        <v>0</v>
      </c>
      <c r="V27" s="78">
        <f>SUMIF('手机&amp;平板保底版销售计划数量VS 实际出货'!A:A,B27,'手机&amp;平板保底版销售计划数量VS 实际出货'!Z:Z)</f>
        <v>0</v>
      </c>
      <c r="W27" s="79">
        <f>SUMIF('手机&amp;平板保底版销售计划数量VS 实际出货'!A:A,B27,'手机&amp;平板保底版销售计划数量VS 实际出货'!AA:AA)</f>
        <v>0</v>
      </c>
      <c r="X27" s="79">
        <f>SUMIF('手机&amp;平板保底版销售计划数量VS 实际出货'!A:A,B27,'手机&amp;平板保底版销售计划数量VS 实际出货'!AB:AB)</f>
        <v>19993</v>
      </c>
      <c r="Y27" s="80">
        <f>SUMIF('手机&amp;平板保底版销售计划数量VS 实际出货'!A:A,B27,'手机&amp;平板保底版销售计划数量VS 实际出货'!AC:AC)</f>
        <v>0</v>
      </c>
      <c r="Z27" s="83">
        <f>SUMIF('手机&amp;平板保底版销售计划数量VS 实际出货'!A:A,B27,'手机&amp;平板保底版销售计划数量VS 实际出货'!AD:AD)</f>
        <v>0</v>
      </c>
      <c r="AA27" s="84">
        <f t="shared" si="10"/>
        <v>0</v>
      </c>
      <c r="AB27" s="84">
        <f t="shared" si="9"/>
        <v>19993</v>
      </c>
    </row>
    <row r="28" ht="13.85" spans="2:36">
      <c r="B28" s="77" t="s">
        <v>184</v>
      </c>
      <c r="C28" s="78">
        <f>SUMIF('手机&amp;平板保底版销售计划数量VS 实际出货'!A:A,B28,'手机&amp;平板保底版销售计划数量VS 实际出货'!G:G)</f>
        <v>0</v>
      </c>
      <c r="D28" s="78">
        <f>SUMIF('手机&amp;平板保底版销售计划数量VS 实际出货'!A:A,B28,'手机&amp;平板保底版销售计划数量VS 实际出货'!H:H)</f>
        <v>0</v>
      </c>
      <c r="E28" s="79">
        <f>SUMIF('手机&amp;平板保底版销售计划数量VS 实际出货'!A:A,B28,'手机&amp;平板保底版销售计划数量VS 实际出货'!I:I)</f>
        <v>0</v>
      </c>
      <c r="F28" s="79">
        <f>SUMIF('手机&amp;平板保底版销售计划数量VS 实际出货'!A:A,B28,'手机&amp;平板保底版销售计划数量VS 实际出货'!J:J)</f>
        <v>0</v>
      </c>
      <c r="G28" s="80">
        <f>SUMIF('手机&amp;平板保底版销售计划数量VS 实际出货'!A:A,B28,'手机&amp;平板保底版销售计划数量VS 实际出货'!K:K)</f>
        <v>0</v>
      </c>
      <c r="H28" s="80">
        <f>SUMIF('手机&amp;平板保底版销售计划数量VS 实际出货'!A:A,B28,'手机&amp;平板保底版销售计划数量VS 实际出货'!L:L)</f>
        <v>0</v>
      </c>
      <c r="I28" s="78">
        <f>SUMIF('手机&amp;平板保底版销售计划数量VS 实际出货'!A:A,B28,'手机&amp;平板保底版销售计划数量VS 实际出货'!M:M)</f>
        <v>0</v>
      </c>
      <c r="J28" s="78">
        <f>SUMIF('手机&amp;平板保底版销售计划数量VS 实际出货'!A:A,B28,'手机&amp;平板保底版销售计划数量VS 实际出货'!N:N)</f>
        <v>0</v>
      </c>
      <c r="K28" s="81">
        <f>SUMIF('手机&amp;平板保底版销售计划数量VS 实际出货'!A:A,B28,'手机&amp;平板保底版销售计划数量VS 实际出货'!O:O)</f>
        <v>0</v>
      </c>
      <c r="L28" s="81">
        <f>SUMIF('手机&amp;平板保底版销售计划数量VS 实际出货'!A:A,B28,'手机&amp;平板保底版销售计划数量VS 实际出货'!P:P)</f>
        <v>0</v>
      </c>
      <c r="M28" s="82">
        <f>SUMIF('手机&amp;平板保底版销售计划数量VS 实际出货'!A:A,B28,'手机&amp;平板保底版销售计划数量VS 实际出货'!Q:Q)</f>
        <v>0</v>
      </c>
      <c r="N28" s="82">
        <f>SUMIF('手机&amp;平板保底版销售计划数量VS 实际出货'!A:A,B28,'手机&amp;平板保底版销售计划数量VS 实际出货'!R:R)</f>
        <v>0</v>
      </c>
      <c r="O28" s="78">
        <f>SUMIF('手机&amp;平板保底版销售计划数量VS 实际出货'!A:A,B28,'手机&amp;平板保底版销售计划数量VS 实际出货'!S:S)</f>
        <v>0</v>
      </c>
      <c r="P28" s="78">
        <f>SUMIF('手机&amp;平板保底版销售计划数量VS 实际出货'!A:A,B28,'手机&amp;平板保底版销售计划数量VS 实际出货'!T:T)</f>
        <v>0</v>
      </c>
      <c r="Q28" s="79">
        <f>SUMIF('手机&amp;平板保底版销售计划数量VS 实际出货'!A:A,B28,'手机&amp;平板保底版销售计划数量VS 实际出货'!U:U)</f>
        <v>0</v>
      </c>
      <c r="R28" s="79">
        <f>SUMIF('手机&amp;平板保底版销售计划数量VS 实际出货'!A:A,B28,'手机&amp;平板保底版销售计划数量VS 实际出货'!V:V)</f>
        <v>0</v>
      </c>
      <c r="S28" s="80">
        <f>SUMIF('手机&amp;平板保底版销售计划数量VS 实际出货'!A:A,B28,'手机&amp;平板保底版销售计划数量VS 实际出货'!W:W)</f>
        <v>0</v>
      </c>
      <c r="T28" s="80">
        <f>SUMIF('手机&amp;平板保底版销售计划数量VS 实际出货'!A:A,B28,'手机&amp;平板保底版销售计划数量VS 实际出货'!X:X)</f>
        <v>0</v>
      </c>
      <c r="U28" s="78">
        <f>SUMIF('手机&amp;平板保底版销售计划数量VS 实际出货'!A:A,B28,'手机&amp;平板保底版销售计划数量VS 实际出货'!Y:Y)</f>
        <v>0</v>
      </c>
      <c r="V28" s="78">
        <f>SUMIF('手机&amp;平板保底版销售计划数量VS 实际出货'!A:A,B28,'手机&amp;平板保底版销售计划数量VS 实际出货'!Z:Z)</f>
        <v>0</v>
      </c>
      <c r="W28" s="79">
        <f>SUMIF('手机&amp;平板保底版销售计划数量VS 实际出货'!A:A,B28,'手机&amp;平板保底版销售计划数量VS 实际出货'!AA:AA)</f>
        <v>0</v>
      </c>
      <c r="X28" s="79">
        <f>SUMIF('手机&amp;平板保底版销售计划数量VS 实际出货'!A:A,B28,'手机&amp;平板保底版销售计划数量VS 实际出货'!AB:AB)</f>
        <v>10000</v>
      </c>
      <c r="Y28" s="80">
        <f>SUMIF('手机&amp;平板保底版销售计划数量VS 实际出货'!A:A,B28,'手机&amp;平板保底版销售计划数量VS 实际出货'!AC:AC)</f>
        <v>0</v>
      </c>
      <c r="Z28" s="83">
        <f>SUMIF('手机&amp;平板保底版销售计划数量VS 实际出货'!A:A,B28,'手机&amp;平板保底版销售计划数量VS 实际出货'!AD:AD)</f>
        <v>0</v>
      </c>
      <c r="AA28" s="84">
        <f t="shared" si="10"/>
        <v>0</v>
      </c>
      <c r="AB28" s="84">
        <f t="shared" si="9"/>
        <v>10000</v>
      </c>
    </row>
    <row r="29" ht="13.85" spans="2:36">
      <c r="B29" s="77" t="s">
        <v>230</v>
      </c>
      <c r="C29" s="78">
        <f>SUMIF('手机&amp;平板保底版销售计划数量VS 实际出货'!A:A,B29,'手机&amp;平板保底版销售计划数量VS 实际出货'!G:G)</f>
        <v>716</v>
      </c>
      <c r="D29" s="78">
        <f>SUMIF('手机&amp;平板保底版销售计划数量VS 实际出货'!A:A,B29,'手机&amp;平板保底版销售计划数量VS 实际出货'!H:H)</f>
        <v>716</v>
      </c>
      <c r="E29" s="79">
        <f>SUMIF('手机&amp;平板保底版销售计划数量VS 实际出货'!A:A,B29,'手机&amp;平板保底版销售计划数量VS 实际出货'!I:I)</f>
        <v>904</v>
      </c>
      <c r="F29" s="79">
        <f>SUMIF('手机&amp;平板保底版销售计划数量VS 实际出货'!A:A,B29,'手机&amp;平板保底版销售计划数量VS 实际出货'!J:J)</f>
        <v>10800</v>
      </c>
      <c r="G29" s="80">
        <f>SUMIF('手机&amp;平板保底版销售计划数量VS 实际出货'!A:A,B29,'手机&amp;平板保底版销售计划数量VS 实际出货'!K:K)</f>
        <v>31380</v>
      </c>
      <c r="H29" s="80">
        <f>SUMIF('手机&amp;平板保底版销售计划数量VS 实际出货'!A:A,B29,'手机&amp;平板保底版销售计划数量VS 实际出货'!L:L)</f>
        <v>21484</v>
      </c>
      <c r="I29" s="78">
        <f>SUMIF('手机&amp;平板保底版销售计划数量VS 实际出货'!A:A,B29,'手机&amp;平板保底版销售计划数量VS 实际出货'!M:M)</f>
        <v>0</v>
      </c>
      <c r="J29" s="78">
        <f>SUMIF('手机&amp;平板保底版销售计划数量VS 实际出货'!A:A,B29,'手机&amp;平板保底版销售计划数量VS 实际出货'!N:N)</f>
        <v>0</v>
      </c>
      <c r="K29" s="81">
        <f>SUMIF('手机&amp;平板保底版销售计划数量VS 实际出货'!A:A,B29,'手机&amp;平板保底版销售计划数量VS 实际出货'!O:O)</f>
        <v>5000</v>
      </c>
      <c r="L29" s="81">
        <f>SUMIF('手机&amp;平板保底版销售计划数量VS 实际出货'!A:A,B29,'手机&amp;平板保底版销售计划数量VS 实际出货'!P:P)</f>
        <v>2084</v>
      </c>
      <c r="M29" s="82">
        <f>SUMIF('手机&amp;平板保底版销售计划数量VS 实际出货'!A:A,B29,'手机&amp;平板保底版销售计划数量VS 实际出货'!Q:Q)</f>
        <v>0</v>
      </c>
      <c r="N29" s="82">
        <f>SUMIF('手机&amp;平板保底版销售计划数量VS 实际出货'!A:A,B29,'手机&amp;平板保底版销售计划数量VS 实际出货'!R:R)</f>
        <v>0</v>
      </c>
      <c r="O29" s="78">
        <f>SUMIF('手机&amp;平板保底版销售计划数量VS 实际出货'!A:A,B29,'手机&amp;平板保底版销售计划数量VS 实际出货'!S:S)</f>
        <v>0</v>
      </c>
      <c r="P29" s="78">
        <f>SUMIF('手机&amp;平板保底版销售计划数量VS 实际出货'!A:A,B29,'手机&amp;平板保底版销售计划数量VS 实际出货'!T:T)</f>
        <v>0</v>
      </c>
      <c r="Q29" s="79">
        <f>SUMIF('手机&amp;平板保底版销售计划数量VS 实际出货'!A:A,B29,'手机&amp;平板保底版销售计划数量VS 实际出货'!U:U)</f>
        <v>0</v>
      </c>
      <c r="R29" s="79">
        <f>SUMIF('手机&amp;平板保底版销售计划数量VS 实际出货'!A:A,B29,'手机&amp;平板保底版销售计划数量VS 实际出货'!V:V)</f>
        <v>0</v>
      </c>
      <c r="S29" s="80">
        <f>SUMIF('手机&amp;平板保底版销售计划数量VS 实际出货'!A:A,B29,'手机&amp;平板保底版销售计划数量VS 实际出货'!W:W)</f>
        <v>0</v>
      </c>
      <c r="T29" s="80">
        <f>SUMIF('手机&amp;平板保底版销售计划数量VS 实际出货'!A:A,B29,'手机&amp;平板保底版销售计划数量VS 实际出货'!X:X)</f>
        <v>2916</v>
      </c>
      <c r="U29" s="78">
        <f>SUMIF('手机&amp;平板保底版销售计划数量VS 实际出货'!A:A,B29,'手机&amp;平板保底版销售计划数量VS 实际出货'!Y:Y)</f>
        <v>0</v>
      </c>
      <c r="V29" s="78">
        <f>SUMIF('手机&amp;平板保底版销售计划数量VS 实际出货'!A:A,B29,'手机&amp;平板保底版销售计划数量VS 实际出货'!Z:Z)</f>
        <v>0</v>
      </c>
      <c r="W29" s="79">
        <f>SUMIF('手机&amp;平板保底版销售计划数量VS 实际出货'!A:A,B29,'手机&amp;平板保底版销售计划数量VS 实际出货'!AA:AA)</f>
        <v>0</v>
      </c>
      <c r="X29" s="79">
        <f>SUMIF('手机&amp;平板保底版销售计划数量VS 实际出货'!A:A,B29,'手机&amp;平板保底版销售计划数量VS 实际出货'!AB:AB)</f>
        <v>0</v>
      </c>
      <c r="Y29" s="80">
        <f>SUMIF('手机&amp;平板保底版销售计划数量VS 实际出货'!A:A,B29,'手机&amp;平板保底版销售计划数量VS 实际出货'!AC:AC)</f>
        <v>0</v>
      </c>
      <c r="Z29" s="83">
        <f>SUMIF('手机&amp;平板保底版销售计划数量VS 实际出货'!A:A,B29,'手机&amp;平板保底版销售计划数量VS 实际出货'!AD:AD)</f>
        <v>0</v>
      </c>
      <c r="AA29" s="84">
        <f t="shared" si="10"/>
        <v>38000</v>
      </c>
      <c r="AB29" s="84">
        <f t="shared" si="9"/>
        <v>38000</v>
      </c>
    </row>
    <row r="30" ht="14.6" spans="2:36">
      <c r="B30" s="86" t="s">
        <v>237</v>
      </c>
      <c r="C30" s="87">
        <f t="shared" ref="C30:AB30" si="11">SUM(C4:C29)</f>
        <v>2129871</v>
      </c>
      <c r="D30" s="87">
        <f t="shared" si="11"/>
        <v>2253215</v>
      </c>
      <c r="E30" s="87">
        <f t="shared" si="11"/>
        <v>1774948</v>
      </c>
      <c r="F30" s="87">
        <f t="shared" si="11"/>
        <v>1369112</v>
      </c>
      <c r="G30" s="87">
        <f t="shared" si="11"/>
        <v>1973093</v>
      </c>
      <c r="H30" s="87">
        <f t="shared" si="11"/>
        <v>1551175</v>
      </c>
      <c r="I30" s="87">
        <f t="shared" si="11"/>
        <v>1663731</v>
      </c>
      <c r="J30" s="87">
        <f t="shared" si="11"/>
        <v>1314512</v>
      </c>
      <c r="K30" s="87">
        <f t="shared" si="11"/>
        <v>2335000</v>
      </c>
      <c r="L30" s="87">
        <f t="shared" si="11"/>
        <v>1872333</v>
      </c>
      <c r="M30" s="87">
        <f t="shared" si="11"/>
        <v>2295000</v>
      </c>
      <c r="N30" s="87">
        <f t="shared" si="11"/>
        <v>1625477</v>
      </c>
      <c r="O30" s="87">
        <f t="shared" si="11"/>
        <v>2835000</v>
      </c>
      <c r="P30" s="87">
        <f t="shared" si="11"/>
        <v>1980972</v>
      </c>
      <c r="Q30" s="87">
        <f t="shared" si="11"/>
        <v>2889000</v>
      </c>
      <c r="R30" s="87">
        <f t="shared" si="11"/>
        <v>1970077</v>
      </c>
      <c r="S30" s="87">
        <f t="shared" si="11"/>
        <v>2992422</v>
      </c>
      <c r="T30" s="87">
        <f t="shared" si="11"/>
        <v>2961048</v>
      </c>
      <c r="U30" s="87">
        <f t="shared" si="11"/>
        <v>3046000</v>
      </c>
      <c r="V30" s="87">
        <f t="shared" si="11"/>
        <v>2157768</v>
      </c>
      <c r="W30" s="87">
        <f t="shared" si="11"/>
        <v>2136465</v>
      </c>
      <c r="X30" s="87">
        <f t="shared" si="11"/>
        <v>2424292</v>
      </c>
      <c r="Y30" s="87">
        <f t="shared" si="11"/>
        <v>2092050</v>
      </c>
      <c r="Z30" s="87">
        <f t="shared" si="11"/>
        <v>2478882</v>
      </c>
      <c r="AA30" s="88">
        <f t="shared" si="11"/>
        <v>28162580</v>
      </c>
      <c r="AB30" s="88">
        <f t="shared" si="11"/>
        <v>23958863</v>
      </c>
    </row>
    <row r="31" ht="17.25" customHeight="1"/>
    <row r="32" ht="17.25" customHeight="1" spans="2:36">
      <c r="B32" s="89" t="s">
        <v>238</v>
      </c>
      <c r="G32" s="90"/>
      <c r="H32" s="90"/>
      <c r="K32" s="90"/>
      <c r="L32" s="90"/>
      <c r="M32" s="90"/>
      <c r="N32" s="90"/>
      <c r="O32" s="90"/>
      <c r="P32" s="90"/>
      <c r="Q32" s="90"/>
      <c r="R32" s="90"/>
      <c r="AF32" s="89" t="s">
        <v>239</v>
      </c>
      <c r="AJ32" s="90"/>
    </row>
    <row r="33" ht="18" customHeight="1" spans="2:45">
      <c r="B33" s="91" t="s">
        <v>240</v>
      </c>
      <c r="C33" s="92" t="s">
        <v>241</v>
      </c>
      <c r="D33" s="92" t="s">
        <v>242</v>
      </c>
      <c r="E33" s="92" t="s">
        <v>243</v>
      </c>
      <c r="F33" s="92" t="s">
        <v>244</v>
      </c>
      <c r="G33" s="92" t="s">
        <v>245</v>
      </c>
      <c r="H33" s="92" t="s">
        <v>246</v>
      </c>
      <c r="I33" s="92" t="s">
        <v>247</v>
      </c>
      <c r="J33" s="92" t="s">
        <v>248</v>
      </c>
      <c r="K33" s="92" t="s">
        <v>249</v>
      </c>
      <c r="L33" s="92" t="s">
        <v>250</v>
      </c>
      <c r="M33" s="92" t="s">
        <v>251</v>
      </c>
      <c r="N33" s="92" t="s">
        <v>252</v>
      </c>
      <c r="O33" s="92" t="s">
        <v>253</v>
      </c>
      <c r="P33" s="92" t="s">
        <v>254</v>
      </c>
      <c r="Q33" s="92" t="s">
        <v>255</v>
      </c>
      <c r="R33" s="92" t="s">
        <v>256</v>
      </c>
      <c r="S33" s="92" t="s">
        <v>257</v>
      </c>
      <c r="T33" s="92" t="s">
        <v>258</v>
      </c>
      <c r="U33" s="92" t="s">
        <v>259</v>
      </c>
      <c r="V33" s="92" t="s">
        <v>260</v>
      </c>
      <c r="W33" s="92" t="s">
        <v>261</v>
      </c>
      <c r="X33" s="92" t="s">
        <v>262</v>
      </c>
      <c r="Y33" s="92" t="s">
        <v>263</v>
      </c>
      <c r="Z33" s="92" t="s">
        <v>264</v>
      </c>
      <c r="AA33" s="93" t="s">
        <v>30</v>
      </c>
      <c r="AB33" s="93" t="s">
        <v>31</v>
      </c>
      <c r="AF33" s="91" t="s">
        <v>240</v>
      </c>
      <c r="AG33" s="92" t="s">
        <v>265</v>
      </c>
      <c r="AH33" s="92" t="s">
        <v>266</v>
      </c>
      <c r="AI33" s="92" t="s">
        <v>267</v>
      </c>
      <c r="AJ33" s="92" t="s">
        <v>268</v>
      </c>
      <c r="AK33" s="92" t="s">
        <v>269</v>
      </c>
      <c r="AL33" s="92" t="s">
        <v>270</v>
      </c>
      <c r="AM33" s="92" t="s">
        <v>271</v>
      </c>
      <c r="AN33" s="92" t="s">
        <v>272</v>
      </c>
      <c r="AO33" s="92" t="s">
        <v>273</v>
      </c>
      <c r="AP33" s="92" t="s">
        <v>274</v>
      </c>
      <c r="AQ33" s="92" t="s">
        <v>275</v>
      </c>
      <c r="AR33" s="92" t="s">
        <v>276</v>
      </c>
      <c r="AS33" s="94" t="s">
        <v>277</v>
      </c>
    </row>
    <row r="34" spans="2:45">
      <c r="B34" s="95" t="s">
        <v>61</v>
      </c>
      <c r="C34" s="96">
        <f>SUMIF('手机&amp;平板保底版销售计划数量VS 实际出货'!E:E,B34,'手机&amp;平板保底版销售计划数量VS 实际出货'!G:G)</f>
        <v>1460000</v>
      </c>
      <c r="D34" s="96">
        <f>SUMIF('手机&amp;平板保底版销售计划数量VS 实际出货'!E:E,B34,'手机&amp;平板保底版销售计划数量VS 实际出货'!H:H)</f>
        <v>1613262</v>
      </c>
      <c r="E34" s="96">
        <f>SUMIF('手机&amp;平板保底版销售计划数量VS 实际出货'!E:E,B34,'手机&amp;平板保底版销售计划数量VS 实际出货'!I:I)</f>
        <v>1355000</v>
      </c>
      <c r="F34" s="96">
        <f>SUMIF('手机&amp;平板保底版销售计划数量VS 实际出货'!E:E,B34,'手机&amp;平板保底版销售计划数量VS 实际出货'!J:J)</f>
        <v>930376</v>
      </c>
      <c r="G34" s="96">
        <f>SUMIF('手机&amp;平板保底版销售计划数量VS 实际出货'!E:E,B34,'手机&amp;平板保底版销售计划数量VS 实际出货'!K:K)</f>
        <v>1255000</v>
      </c>
      <c r="H34" s="96">
        <f>SUMIF('手机&amp;平板保底版销售计划数量VS 实际出货'!E:E,B34,'手机&amp;平板保底版销售计划数量VS 实际出货'!L:L)</f>
        <v>943772</v>
      </c>
      <c r="I34" s="96">
        <f>SUMIF('手机&amp;平板保底版销售计划数量VS 实际出货'!E:E,B34,'手机&amp;平板保底版销售计划数量VS 实际出货'!M:M)</f>
        <v>1250000</v>
      </c>
      <c r="J34" s="96">
        <f>SUMIF('手机&amp;平板保底版销售计划数量VS 实际出货'!E:E,B34,'手机&amp;平板保底版销售计划数量VS 实际出货'!N:N)</f>
        <v>821378</v>
      </c>
      <c r="K34" s="97">
        <f>SUMIF('手机&amp;平板保底版销售计划数量VS 实际出货'!E:E,B34,'手机&amp;平板保底版销售计划数量VS 实际出货'!O:O)</f>
        <v>1320000</v>
      </c>
      <c r="L34" s="97">
        <f>SUMIF('手机&amp;平板保底版销售计划数量VS 实际出货'!E:E,B34,'手机&amp;平板保底版销售计划数量VS 实际出货'!P:P)</f>
        <v>1095490</v>
      </c>
      <c r="M34" s="97">
        <f>SUMIF('手机&amp;平板保底版销售计划数量VS 实际出货'!E:E,B34,'手机&amp;平板保底版销售计划数量VS 实际出货'!Q:Q)</f>
        <v>1350000</v>
      </c>
      <c r="N34" s="97">
        <f>SUMIF('手机&amp;平板保底版销售计划数量VS 实际出货'!E:E,B34,'手机&amp;平板保底版销售计划数量VS 实际出货'!R:R)</f>
        <v>724562</v>
      </c>
      <c r="O34" s="97">
        <f>SUMIF('手机&amp;平板保底版销售计划数量VS 实际出货'!E:E,B34,'手机&amp;平板保底版销售计划数量VS 实际出货'!S:S)</f>
        <v>1640000</v>
      </c>
      <c r="P34" s="97">
        <f>SUMIF('手机&amp;平板保底版销售计划数量VS 实际出货'!E:E,B34,'手机&amp;平板保底版销售计划数量VS 实际出货'!T:T)</f>
        <v>851544</v>
      </c>
      <c r="Q34" s="97">
        <f>SUMIF('手机&amp;平板保底版销售计划数量VS 实际出货'!E:E,B34,'手机&amp;平板保底版销售计划数量VS 实际出货'!U:U)</f>
        <v>1560000</v>
      </c>
      <c r="R34" s="97">
        <f>SUMIF('手机&amp;平板保底版销售计划数量VS 实际出货'!E:E,B34,'手机&amp;平板保底版销售计划数量VS 实际出货'!V:V)</f>
        <v>769702</v>
      </c>
      <c r="S34" s="97">
        <f>SUMIF('手机&amp;平板保底版销售计划数量VS 实际出货'!E:E,B34,'手机&amp;平板保底版销售计划数量VS 实际出货'!W:W)</f>
        <v>1660000</v>
      </c>
      <c r="T34" s="97">
        <f>SUMIF('手机&amp;平板保底版销售计划数量VS 实际出货'!E:E,B34,'手机&amp;平板保底版销售计划数量VS 实际出货'!X:X)</f>
        <v>1137450</v>
      </c>
      <c r="U34" s="97">
        <f>SUMIF('手机&amp;平板保底版销售计划数量VS 实际出货'!E:E,B34,'手机&amp;平板保底版销售计划数量VS 实际出货'!Y:Y)</f>
        <v>1710000</v>
      </c>
      <c r="V34" s="97">
        <f>SUMIF('手机&amp;平板保底版销售计划数量VS 实际出货'!E:E,B34,'手机&amp;平板保底版销售计划数量VS 实际出货'!Z:Z)</f>
        <v>1219616</v>
      </c>
      <c r="W34" s="97">
        <f>SUMIF('手机&amp;平板保底版销售计划数量VS 实际出货'!E:E,B34,'手机&amp;平板保底版销售计划数量VS 实际出货'!AA:AA)</f>
        <v>946000</v>
      </c>
      <c r="X34" s="97">
        <f>SUMIF('手机&amp;平板保底版销售计划数量VS 实际出货'!E:E,B34,'手机&amp;平板保底版销售计划数量VS 实际出货'!AB:AB)</f>
        <v>1481084</v>
      </c>
      <c r="Y34" s="97">
        <f>SUMIF('手机&amp;平板保底版销售计划数量VS 实际出货'!E:E,B34,'手机&amp;平板保底版销售计划数量VS 实际出货'!AC:AC)</f>
        <v>903000</v>
      </c>
      <c r="Z34" s="98">
        <f>SUMIF('手机&amp;平板保底版销售计划数量VS 实际出货'!E:E,B34,'手机&amp;平板保底版销售计划数量VS 实际出货'!AD:AD)</f>
        <v>1498019</v>
      </c>
      <c r="AA34" s="99">
        <f t="shared" ref="AA34:AB36" si="12">C34+E34+G34+I34+K34+M34+O34+Q34+S34+U34+W34+Y34</f>
        <v>16409000</v>
      </c>
      <c r="AB34" s="99">
        <f>D34+F34+H34+J34+L34+N34+P34+R34+T34+V34+X34+Z34</f>
        <v>13086255</v>
      </c>
      <c r="AF34" s="95" t="s">
        <v>278</v>
      </c>
      <c r="AG34" s="96">
        <f>SUMIFS('手机&amp;平板保底版销售计划数量VS 实际出货'!G:G,'手机&amp;平板保底版销售计划数量VS 实际出货'!D:D,"CBU",'手机&amp;平板保底版销售计划数量VS 实际出货'!E:E,"FP")</f>
        <v>0</v>
      </c>
      <c r="AH34" s="96">
        <f>SUMIFS('手机&amp;平板保底版销售计划数量VS 实际出货'!I:I,'手机&amp;平板保底版销售计划数量VS 实际出货'!D:D,"CBU",'手机&amp;平板保底版销售计划数量VS 实际出货'!E:E,"FP")</f>
        <v>5000</v>
      </c>
      <c r="AI34" s="96">
        <f>SUMIFS('手机&amp;平板保底版销售计划数量VS 实际出货'!K:K,'手机&amp;平板保底版销售计划数量VS 实际出货'!D:D,"CBU",'手机&amp;平板保底版销售计划数量VS 实际出货'!E:E,"FP")</f>
        <v>5000</v>
      </c>
      <c r="AJ34" s="96">
        <f>SUMIFS('手机&amp;平板保底版销售计划数量VS 实际出货'!M:M,'手机&amp;平板保底版销售计划数量VS 实际出货'!D:D,"CBU",'手机&amp;平板保底版销售计划数量VS 实际出货'!E:E,"FP")</f>
        <v>0</v>
      </c>
      <c r="AK34" s="97">
        <f>SUMIFS('手机&amp;平板保底版销售计划数量VS 实际出货'!O:O,'手机&amp;平板保底版销售计划数量VS 实际出货'!D:D,"CBU",'手机&amp;平板保底版销售计划数量VS 实际出货'!E:E,"FP")</f>
        <v>0</v>
      </c>
      <c r="AL34" s="97">
        <f>SUMIFS('手机&amp;平板保底版销售计划数量VS 实际出货'!Q:Q,'手机&amp;平板保底版销售计划数量VS 实际出货'!D:D,"CBU",'手机&amp;平板保底版销售计划数量VS 实际出货'!E:E,"FP")</f>
        <v>0</v>
      </c>
      <c r="AM34" s="97">
        <f>SUMIFS('手机&amp;平板保底版销售计划数量VS 实际出货'!S:S,'手机&amp;平板保底版销售计划数量VS 实际出货'!D:D,"CBU",'手机&amp;平板保底版销售计划数量VS 实际出货'!E:E,"FP")</f>
        <v>0</v>
      </c>
      <c r="AN34" s="97">
        <f>SUMIFS('手机&amp;平板保底版销售计划数量VS 实际出货'!U:U,'手机&amp;平板保底版销售计划数量VS 实际出货'!D:D,"CBU",'手机&amp;平板保底版销售计划数量VS 实际出货'!E:E,"FP")</f>
        <v>0</v>
      </c>
      <c r="AO34" s="97">
        <f>SUMIFS('手机&amp;平板保底版销售计划数量VS 实际出货'!W:W,'手机&amp;平板保底版销售计划数量VS 实际出货'!D:D,"CBU",'手机&amp;平板保底版销售计划数量VS 实际出货'!E:E,"FP")</f>
        <v>0</v>
      </c>
      <c r="AP34" s="97">
        <f>SUMIFS('手机&amp;平板保底版销售计划数量VS 实际出货'!Y:Y,'手机&amp;平板保底版销售计划数量VS 实际出货'!D:D,"CBU",'手机&amp;平板保底版销售计划数量VS 实际出货'!E:E,"FP")</f>
        <v>0</v>
      </c>
      <c r="AQ34" s="97">
        <f>SUMIFS('手机&amp;平板保底版销售计划数量VS 实际出货'!AA:AA,'手机&amp;平板保底版销售计划数量VS 实际出货'!D:D,"CBU",'手机&amp;平板保底版销售计划数量VS 实际出货'!E:E,"FP")</f>
        <v>0</v>
      </c>
      <c r="AR34" s="97">
        <f>SUMIFS('手机&amp;平板保底版销售计划数量VS 实际出货'!AC:AC,'手机&amp;平板保底版销售计划数量VS 实际出货'!D:D,"CBU",'手机&amp;平板保底版销售计划数量VS 实际出货'!E:E,"FP")</f>
        <v>0</v>
      </c>
      <c r="AS34" s="99">
        <f>SUM(AG34:AR34)</f>
        <v>10000</v>
      </c>
    </row>
    <row r="35" spans="2:45">
      <c r="B35" s="100" t="s">
        <v>139</v>
      </c>
      <c r="C35" s="101">
        <f>SUMIF('手机&amp;平板保底版销售计划数量VS 实际出货'!E:E,B35,'手机&amp;平板保底版销售计划数量VS 实际出货'!G:G)</f>
        <v>93988</v>
      </c>
      <c r="D35" s="101">
        <f>SUMIF('手机&amp;平板保底版销售计划数量VS 实际出货'!E:E,B35,'手机&amp;平板保底版销售计划数量VS 实际出货'!H:H)</f>
        <v>97896</v>
      </c>
      <c r="E35" s="101">
        <f>SUMIF('手机&amp;平板保底版销售计划数量VS 实际出货'!E:E,B35,'手机&amp;平板保底版销售计划数量VS 实际出货'!I:I)</f>
        <v>88904</v>
      </c>
      <c r="F35" s="101">
        <f>SUMIF('手机&amp;平板保底版销售计划数量VS 实际出货'!E:E,B35,'手机&amp;平板保底版销售计划数量VS 实际出货'!J:J)</f>
        <v>100660</v>
      </c>
      <c r="G35" s="101">
        <f>SUMIF('手机&amp;平板保底版销售计划数量VS 实际出货'!E:E,B35,'手机&amp;平板保底版销售计划数量VS 实际出货'!K:K)</f>
        <v>117380</v>
      </c>
      <c r="H35" s="101">
        <f>SUMIF('手机&amp;平板保底版销售计划数量VS 实际出货'!E:E,B35,'手机&amp;平板保底版销售计划数量VS 实际出货'!L:L)</f>
        <v>101294</v>
      </c>
      <c r="I35" s="101">
        <f>SUMIF('手机&amp;平板保底版销售计划数量VS 实际出货'!E:E,B35,'手机&amp;平板保底版销售计划数量VS 实际出货'!M:M)</f>
        <v>70473</v>
      </c>
      <c r="J35" s="101">
        <f>SUMIF('手机&amp;平板保底版销售计划数量VS 实际出货'!E:E,B35,'手机&amp;平板保底版销售计划数量VS 实际出货'!N:N)</f>
        <v>62952</v>
      </c>
      <c r="K35" s="102">
        <f>SUMIF('手机&amp;平板保底版销售计划数量VS 实际出货'!E:E,B35,'手机&amp;平板保底版销售计划数量VS 实际出货'!O:O)</f>
        <v>90000</v>
      </c>
      <c r="L35" s="102">
        <f>SUMIF('手机&amp;平板保底版销售计划数量VS 实际出货'!E:E,B35,'手机&amp;平板保底版销售计划数量VS 实际出货'!P:P)</f>
        <v>92918</v>
      </c>
      <c r="M35" s="102">
        <f>SUMIF('手机&amp;平板保底版销售计划数量VS 实际出货'!E:E,B35,'手机&amp;平板保底版销售计划数量VS 实际出货'!Q:Q)</f>
        <v>85000</v>
      </c>
      <c r="N35" s="102">
        <f>SUMIF('手机&amp;平板保底版销售计划数量VS 实际出货'!E:E,B35,'手机&amp;平板保底版销售计划数量VS 实际出货'!R:R)</f>
        <v>112620</v>
      </c>
      <c r="O35" s="102">
        <f>SUMIF('手机&amp;平板保底版销售计划数量VS 实际出货'!E:E,B35,'手机&amp;平板保底版销售计划数量VS 实际出货'!S:S)</f>
        <v>75000</v>
      </c>
      <c r="P35" s="102">
        <f>SUMIF('手机&amp;平板保底版销售计划数量VS 实际出货'!E:E,B35,'手机&amp;平板保底版销售计划数量VS 实际出货'!T:T)</f>
        <v>178550</v>
      </c>
      <c r="Q35" s="102">
        <f>SUMIF('手机&amp;平板保底版销售计划数量VS 实际出货'!E:E,B35,'手机&amp;平板保底版销售计划数量VS 实际出货'!U:U)</f>
        <v>79000</v>
      </c>
      <c r="R35" s="102">
        <f>SUMIF('手机&amp;平板保底版销售计划数量VS 实际出货'!E:E,B35,'手机&amp;平板保底版销售计划数量VS 实际出货'!V:V)</f>
        <v>321840</v>
      </c>
      <c r="S35" s="102">
        <f>SUMIF('手机&amp;平板保底版销售计划数量VS 实际出货'!E:E,B35,'手机&amp;平板保底版销售计划数量VS 实际出货'!W:W)</f>
        <v>70000</v>
      </c>
      <c r="T35" s="102">
        <f>SUMIF('手机&amp;平板保底版销售计划数量VS 实际出货'!E:E,B35,'手机&amp;平板保底版销售计划数量VS 实际出货'!X:X)</f>
        <v>300266</v>
      </c>
      <c r="U35" s="102">
        <f>SUMIF('手机&amp;平板保底版销售计划数量VS 实际出货'!E:E,B35,'手机&amp;平板保底版销售计划数量VS 实际出货'!Y:Y)</f>
        <v>71000</v>
      </c>
      <c r="V35" s="102">
        <f>SUMIF('手机&amp;平板保底版销售计划数量VS 实际出货'!E:E,B35,'手机&amp;平板保底版销售计划数量VS 实际出货'!Z:Z)</f>
        <v>121740</v>
      </c>
      <c r="W35" s="102">
        <f>SUMIF('手机&amp;平板保底版销售计划数量VS 实际出货'!E:E,B35,'手机&amp;平板保底版销售计划数量VS 实际出货'!AA:AA)</f>
        <v>87965</v>
      </c>
      <c r="X35" s="102">
        <f>SUMIF('手机&amp;平板保底版销售计划数量VS 实际出货'!E:E,B35,'手机&amp;平板保底版销售计划数量VS 实际出货'!AB:AB)</f>
        <v>94594</v>
      </c>
      <c r="Y35" s="102">
        <f>SUMIF('手机&amp;平板保底版销售计划数量VS 实际出货'!E:E,B35,'手机&amp;平板保底版销售计划数量VS 实际出货'!AC:AC)</f>
        <v>70000</v>
      </c>
      <c r="Z35" s="103">
        <f>SUMIF('手机&amp;平板保底版销售计划数量VS 实际出货'!E:E,B35,'手机&amp;平板保底版销售计划数量VS 实际出货'!AD:AD)</f>
        <v>40204</v>
      </c>
      <c r="AA35" s="99">
        <f t="shared" si="12"/>
        <v>998710</v>
      </c>
      <c r="AB35" s="99">
        <f t="shared" si="12"/>
        <v>1625534</v>
      </c>
      <c r="AF35" s="95" t="s">
        <v>278</v>
      </c>
      <c r="AG35" s="96">
        <f>SUMIFS('手机&amp;平板保底版销售计划数量VS 实际出货'!G:G,'手机&amp;平板保底版销售计划数量VS 实际出货'!D:D,"CBU",'手机&amp;平板保底版销售计划数量VS 实际出货'!E:E,"FP")</f>
        <v>0</v>
      </c>
      <c r="AH35" s="96">
        <f>SUMIFS('手机&amp;平板保底版销售计划数量VS 实际出货'!I:I,'手机&amp;平板保底版销售计划数量VS 实际出货'!D:D,"CBU",'手机&amp;平板保底版销售计划数量VS 实际出货'!E:E,"FP")</f>
        <v>5000</v>
      </c>
      <c r="AI35" s="96">
        <f>SUMIFS('手机&amp;平板保底版销售计划数量VS 实际出货'!K:K,'手机&amp;平板保底版销售计划数量VS 实际出货'!D:D,"CBU",'手机&amp;平板保底版销售计划数量VS 实际出货'!E:E,"FP")</f>
        <v>5000</v>
      </c>
      <c r="AJ35" s="96">
        <f>SUMIFS('手机&amp;平板保底版销售计划数量VS 实际出货'!M:M,'手机&amp;平板保底版销售计划数量VS 实际出货'!D:D,"CBU",'手机&amp;平板保底版销售计划数量VS 实际出货'!E:E,"FP")</f>
        <v>0</v>
      </c>
      <c r="AK35" s="97">
        <f>SUMIFS('手机&amp;平板保底版销售计划数量VS 实际出货'!O:O,'手机&amp;平板保底版销售计划数量VS 实际出货'!D:D,"CBU",'手机&amp;平板保底版销售计划数量VS 实际出货'!E:E,"FP")</f>
        <v>0</v>
      </c>
      <c r="AL35" s="97">
        <f>SUMIFS('手机&amp;平板保底版销售计划数量VS 实际出货'!Q:Q,'手机&amp;平板保底版销售计划数量VS 实际出货'!D:D,"CBU",'手机&amp;平板保底版销售计划数量VS 实际出货'!E:E,"FP")</f>
        <v>0</v>
      </c>
      <c r="AM35" s="97">
        <f>SUMIFS('手机&amp;平板保底版销售计划数量VS 实际出货'!S:S,'手机&amp;平板保底版销售计划数量VS 实际出货'!D:D,"CBU",'手机&amp;平板保底版销售计划数量VS 实际出货'!E:E,"FP")</f>
        <v>0</v>
      </c>
      <c r="AN35" s="97">
        <f>SUMIFS('手机&amp;平板保底版销售计划数量VS 实际出货'!U:U,'手机&amp;平板保底版销售计划数量VS 实际出货'!D:D,"CBU",'手机&amp;平板保底版销售计划数量VS 实际出货'!E:E,"FP")</f>
        <v>0</v>
      </c>
      <c r="AO35" s="97">
        <f>SUMIFS('手机&amp;平板保底版销售计划数量VS 实际出货'!W:W,'手机&amp;平板保底版销售计划数量VS 实际出货'!D:D,"CBU",'手机&amp;平板保底版销售计划数量VS 实际出货'!E:E,"FP")</f>
        <v>0</v>
      </c>
      <c r="AP35" s="97">
        <f>SUMIFS('手机&amp;平板保底版销售计划数量VS 实际出货'!Y:Y,'手机&amp;平板保底版销售计划数量VS 实际出货'!D:D,"CBU",'手机&amp;平板保底版销售计划数量VS 实际出货'!E:E,"FP")</f>
        <v>0</v>
      </c>
      <c r="AQ35" s="97">
        <f>SUMIFS('手机&amp;平板保底版销售计划数量VS 实际出货'!AA:AA,'手机&amp;平板保底版销售计划数量VS 实际出货'!D:D,"CBU",'手机&amp;平板保底版销售计划数量VS 实际出货'!E:E,"FP")</f>
        <v>0</v>
      </c>
      <c r="AR35" s="97">
        <f>SUMIFS('手机&amp;平板保底版销售计划数量VS 实际出货'!AC:AC,'手机&amp;平板保底版销售计划数量VS 实际出货'!D:D,"CBU",'手机&amp;平板保底版销售计划数量VS 实际出货'!E:E,"FP")</f>
        <v>0</v>
      </c>
      <c r="AS35" s="99">
        <f>SUM(AG35:AR35)</f>
        <v>10000</v>
      </c>
    </row>
    <row r="36" spans="2:45">
      <c r="B36" s="104" t="s">
        <v>39</v>
      </c>
      <c r="C36" s="105">
        <f>SUMIF('手机&amp;平板保底版销售计划数量VS 实际出货'!E:E,B36,'手机&amp;平板保底版销售计划数量VS 实际出货'!G:G)</f>
        <v>575883</v>
      </c>
      <c r="D36" s="105">
        <f>SUMIF('手机&amp;平板保底版销售计划数量VS 实际出货'!E:E,B36,'手机&amp;平板保底版销售计划数量VS 实际出货'!H:H)</f>
        <v>542057</v>
      </c>
      <c r="E36" s="105">
        <f>SUMIF('手机&amp;平板保底版销售计划数量VS 实际出货'!E:E,B36,'手机&amp;平板保底版销售计划数量VS 实际出货'!I:I)</f>
        <v>331044</v>
      </c>
      <c r="F36" s="105">
        <f>SUMIF('手机&amp;平板保底版销售计划数量VS 实际出货'!E:E,B36,'手机&amp;平板保底版销售计划数量VS 实际出货'!J:J)</f>
        <v>338076</v>
      </c>
      <c r="G36" s="105">
        <f>SUMIF('手机&amp;平板保底版销售计划数量VS 实际出货'!E:E,B36,'手机&amp;平板保底版销售计划数量VS 实际出货'!K:K)</f>
        <v>600713</v>
      </c>
      <c r="H36" s="105">
        <f>SUMIF('手机&amp;平板保底版销售计划数量VS 实际出货'!E:E,B36,'手机&amp;平板保底版销售计划数量VS 实际出货'!L:L)</f>
        <v>506109</v>
      </c>
      <c r="I36" s="105">
        <f>SUMIF('手机&amp;平板保底版销售计划数量VS 实际出货'!E:E,B36,'手机&amp;平板保底版销售计划数量VS 实际出货'!M:M)</f>
        <v>343258</v>
      </c>
      <c r="J36" s="105">
        <f>SUMIF('手机&amp;平板保底版销售计划数量VS 实际出货'!E:E,B36,'手机&amp;平板保底版销售计划数量VS 实际出货'!N:N)</f>
        <v>430182</v>
      </c>
      <c r="K36" s="106">
        <f>SUMIF('手机&amp;平板保底版销售计划数量VS 实际出货'!E:E,B36,'手机&amp;平板保底版销售计划数量VS 实际出货'!O:O)</f>
        <v>925000</v>
      </c>
      <c r="L36" s="106">
        <f>SUMIF('手机&amp;平板保底版销售计划数量VS 实际出货'!E:E,B36,'手机&amp;平板保底版销售计划数量VS 实际出货'!P:P)</f>
        <v>683925</v>
      </c>
      <c r="M36" s="106">
        <f>SUMIF('手机&amp;平板保底版销售计划数量VS 实际出货'!E:E,B36,'手机&amp;平板保底版销售计划数量VS 实际出货'!Q:Q)</f>
        <v>860000</v>
      </c>
      <c r="N36" s="106">
        <f>SUMIF('手机&amp;平板保底版销售计划数量VS 实际出货'!E:E,B36,'手机&amp;平板保底版销售计划数量VS 实际出货'!R:R)</f>
        <v>788295</v>
      </c>
      <c r="O36" s="106">
        <f>SUMIF('手机&amp;平板保底版销售计划数量VS 实际出货'!E:E,B36,'手机&amp;平板保底版销售计划数量VS 实际出货'!S:S)</f>
        <v>1135000</v>
      </c>
      <c r="P36" s="106">
        <f>SUMIF('手机&amp;平板保底版销售计划数量VS 实际出货'!E:E,B36,'手机&amp;平板保底版销售计划数量VS 实际出货'!T:T)</f>
        <v>950878</v>
      </c>
      <c r="Q36" s="106">
        <f>SUMIF('手机&amp;平板保底版销售计划数量VS 实际出货'!E:E,B36,'手机&amp;平板保底版销售计划数量VS 实际出货'!U:U)</f>
        <v>1265000</v>
      </c>
      <c r="R36" s="106">
        <f>SUMIF('手机&amp;平板保底版销售计划数量VS 实际出货'!E:E,B36,'手机&amp;平板保底版销售计划数量VS 实际出货'!V:V)</f>
        <v>878535</v>
      </c>
      <c r="S36" s="106">
        <f>SUMIF('手机&amp;平板保底版销售计划数量VS 实际出货'!E:E,B36,'手机&amp;平板保底版销售计划数量VS 实际出货'!W:W)</f>
        <v>1277422</v>
      </c>
      <c r="T36" s="106">
        <f>SUMIF('手机&amp;平板保底版销售计划数量VS 实际出货'!E:E,B36,'手机&amp;平板保底版销售计划数量VS 实际出货'!X:X)</f>
        <v>1523332</v>
      </c>
      <c r="U36" s="106">
        <f>SUMIF('手机&amp;平板保底版销售计划数量VS 实际出货'!E:E,B36,'手机&amp;平板保底版销售计划数量VS 实际出货'!Y:Y)</f>
        <v>1285000</v>
      </c>
      <c r="V36" s="106">
        <f>SUMIF('手机&amp;平板保底版销售计划数量VS 实际出货'!E:E,B36,'手机&amp;平板保底版销售计划数量VS 实际出货'!Z:Z)</f>
        <v>816412</v>
      </c>
      <c r="W36" s="106">
        <f>SUMIF('手机&amp;平板保底版销售计划数量VS 实际出货'!E:E,B36,'手机&amp;平板保底版销售计划数量VS 实际出货'!AA:AA)</f>
        <v>1135000</v>
      </c>
      <c r="X36" s="106">
        <f>SUMIF('手机&amp;平板保底版销售计划数量VS 实际出货'!E:E,B36,'手机&amp;平板保底版销售计划数量VS 实际出货'!AB:AB)</f>
        <v>848614</v>
      </c>
      <c r="Y36" s="106">
        <f>SUMIF('手机&amp;平板保底版销售计划数量VS 实际出货'!E:E,B36,'手机&amp;平板保底版销售计划数量VS 实际出货'!AC:AC)</f>
        <v>1137750</v>
      </c>
      <c r="Z36" s="107">
        <f>SUMIF('手机&amp;平板保底版销售计划数量VS 实际出货'!E:E,B36,'手机&amp;平板保底版销售计划数量VS 实际出货'!AD:AD)</f>
        <v>940659</v>
      </c>
      <c r="AA36" s="99">
        <f t="shared" si="12"/>
        <v>10871070</v>
      </c>
      <c r="AB36" s="99">
        <f t="shared" si="12"/>
        <v>9247074</v>
      </c>
      <c r="AF36" s="95" t="s">
        <v>279</v>
      </c>
      <c r="AG36" s="96">
        <f>SUMIFS('手机&amp;平板保底版销售计划数量VS 实际出货'!G:G,'手机&amp;平板保底版销售计划数量VS 实际出货'!D:D,"CBU",'手机&amp;平板保底版销售计划数量VS 实际出货'!E:E,"SP")</f>
        <v>447243</v>
      </c>
      <c r="AH36" s="96">
        <f>SUMIFS('手机&amp;平板保底版销售计划数量VS 实际出货'!I:I,'手机&amp;平板保底版销售计划数量VS 实际出货'!D:D,"CBU",'手机&amp;平板保底版销售计划数量VS 实际出货'!E:E,"SP")</f>
        <v>265544</v>
      </c>
      <c r="AI36" s="96">
        <f>SUMIFS('手机&amp;平板保底版销售计划数量VS 实际出货'!K:K,'手机&amp;平板保底版销售计划数量VS 实际出货'!D:D,"CBU",'手机&amp;平板保底版销售计划数量VS 实际出货'!E:E,"SP")</f>
        <v>442713</v>
      </c>
      <c r="AJ36" s="96">
        <f>SUMIFS('手机&amp;平板保底版销售计划数量VS 实际出货'!M:M,'手机&amp;平板保底版销售计划数量VS 实际出货'!D:D,"CBU",'手机&amp;平板保底版销售计划数量VS 实际出货'!E:E,"SP")</f>
        <v>263258</v>
      </c>
      <c r="AK36" s="97">
        <f>SUMIFS('手机&amp;平板保底版销售计划数量VS 实际出货'!O:O,'手机&amp;平板保底版销售计划数量VS 实际出货'!D:D,"CBU",'手机&amp;平板保底版销售计划数量VS 实际出货'!E:E,"SP")</f>
        <v>795000</v>
      </c>
      <c r="AL36" s="97">
        <f>SUMIFS('手机&amp;平板保底版销售计划数量VS 实际出货'!Q:Q,'手机&amp;平板保底版销售计划数量VS 实际出货'!D:D,"CBU",'手机&amp;平板保底版销售计划数量VS 实际出货'!E:E,"SP")</f>
        <v>700000</v>
      </c>
      <c r="AM36" s="97">
        <f>SUMIFS('手机&amp;平板保底版销售计划数量VS 实际出货'!S:S,'手机&amp;平板保底版销售计划数量VS 实际出货'!D:D,"CBU",'手机&amp;平板保底版销售计划数量VS 实际出货'!E:E,"SP")</f>
        <v>905000</v>
      </c>
      <c r="AN36" s="97">
        <f>SUMIFS('手机&amp;平板保底版销售计划数量VS 实际出货'!U:U,'手机&amp;平板保底版销售计划数量VS 实际出货'!D:D,"CBU",'手机&amp;平板保底版销售计划数量VS 实际出货'!E:E,"SP")</f>
        <v>1125000</v>
      </c>
      <c r="AO36" s="97">
        <f>SUMIFS('手机&amp;平板保底版销售计划数量VS 实际出货'!W:W,'手机&amp;平板保底版销售计划数量VS 实际出货'!D:D,"CBU",'手机&amp;平板保底版销售计划数量VS 实际出货'!E:E,"SP")</f>
        <v>1027422</v>
      </c>
      <c r="AP36" s="97">
        <f>SUMIFS('手机&amp;平板保底版销售计划数量VS 实际出货'!Y:Y,'手机&amp;平板保底版销售计划数量VS 实际出货'!D:D,"CBU",'手机&amp;平板保底版销售计划数量VS 实际出货'!E:E,"SP")</f>
        <v>1005000</v>
      </c>
      <c r="AQ36" s="97">
        <f>SUMIFS('手机&amp;平板保底版销售计划数量VS 实际出货'!AA:AA,'手机&amp;平板保底版销售计划数量VS 实际出货'!D:D,"CBU",'手机&amp;平板保底版销售计划数量VS 实际出货'!E:E,"SP")</f>
        <v>845000</v>
      </c>
      <c r="AR36" s="97">
        <f>SUMIFS('手机&amp;平板保底版销售计划数量VS 实际出货'!AC:AC,'手机&amp;平板保底版销售计划数量VS 实际出货'!D:D,"CBU",'手机&amp;平板保底版销售计划数量VS 实际出货'!E:E,"SP")</f>
        <v>897750</v>
      </c>
      <c r="AS36" s="99">
        <f t="shared" ref="AS36:AS39" si="13">SUM(AG36:AR36)</f>
        <v>8718930</v>
      </c>
    </row>
    <row r="37" ht="14.25" spans="2:45">
      <c r="B37" s="108" t="s">
        <v>280</v>
      </c>
      <c r="C37" s="109">
        <f t="shared" ref="C37:Z37" si="14">SUM(C34:C36)</f>
        <v>2129871</v>
      </c>
      <c r="D37" s="109">
        <f t="shared" si="14"/>
        <v>2253215</v>
      </c>
      <c r="E37" s="110">
        <f t="shared" si="14"/>
        <v>1774948</v>
      </c>
      <c r="F37" s="110">
        <f t="shared" si="14"/>
        <v>1369112</v>
      </c>
      <c r="G37" s="110">
        <f t="shared" si="14"/>
        <v>1973093</v>
      </c>
      <c r="H37" s="110">
        <f t="shared" si="14"/>
        <v>1551175</v>
      </c>
      <c r="I37" s="110">
        <f t="shared" si="14"/>
        <v>1663731</v>
      </c>
      <c r="J37" s="110">
        <f t="shared" si="14"/>
        <v>1314512</v>
      </c>
      <c r="K37" s="110">
        <f t="shared" si="14"/>
        <v>2335000</v>
      </c>
      <c r="L37" s="110">
        <f t="shared" si="14"/>
        <v>1872333</v>
      </c>
      <c r="M37" s="110">
        <f t="shared" si="14"/>
        <v>2295000</v>
      </c>
      <c r="N37" s="110">
        <f t="shared" si="14"/>
        <v>1625477</v>
      </c>
      <c r="O37" s="110">
        <f t="shared" si="14"/>
        <v>2850000</v>
      </c>
      <c r="P37" s="110">
        <f t="shared" si="14"/>
        <v>1980972</v>
      </c>
      <c r="Q37" s="110">
        <f t="shared" si="14"/>
        <v>2904000</v>
      </c>
      <c r="R37" s="110">
        <f t="shared" si="14"/>
        <v>1970077</v>
      </c>
      <c r="S37" s="110">
        <f t="shared" si="14"/>
        <v>3007422</v>
      </c>
      <c r="T37" s="110">
        <f t="shared" si="14"/>
        <v>2961048</v>
      </c>
      <c r="U37" s="110">
        <f t="shared" si="14"/>
        <v>3066000</v>
      </c>
      <c r="V37" s="110">
        <f t="shared" si="14"/>
        <v>2157768</v>
      </c>
      <c r="W37" s="110">
        <f t="shared" si="14"/>
        <v>2168965</v>
      </c>
      <c r="X37" s="110">
        <f t="shared" si="14"/>
        <v>2424292</v>
      </c>
      <c r="Y37" s="110">
        <f t="shared" si="14"/>
        <v>2110750</v>
      </c>
      <c r="Z37" s="110">
        <f t="shared" si="14"/>
        <v>2478882</v>
      </c>
      <c r="AA37" s="111">
        <f t="shared" ref="AA37:AB37" si="15">SUM(AA34:AA36)</f>
        <v>28278780</v>
      </c>
      <c r="AB37" s="111">
        <f t="shared" si="15"/>
        <v>23958863</v>
      </c>
      <c r="AF37" s="104" t="s">
        <v>281</v>
      </c>
      <c r="AG37" s="105">
        <f>SUMIFS('手机&amp;平板保底版销售计划数量VS 实际出货'!G:G,'手机&amp;平板保底版销售计划数量VS 实际出货'!D:D,"SKD",'手机&amp;平板保底版销售计划数量VS 实际出货'!E:E,"FP")</f>
        <v>0</v>
      </c>
      <c r="AH37" s="105">
        <f>SUMIFS('手机&amp;平板保底版销售计划数量VS 实际出货'!I:I,'手机&amp;平板保底版销售计划数量VS 实际出货'!D:D,"SKD",'手机&amp;平板保底版销售计划数量VS 实际出货'!E:E,"FP")</f>
        <v>100000</v>
      </c>
      <c r="AI37" s="105">
        <f>SUMIFS('手机&amp;平板保底版销售计划数量VS 实际出货'!K:K,'手机&amp;平板保底版销售计划数量VS 实际出货'!D:D,"SKD",'手机&amp;平板保底版销售计划数量VS 实际出货'!E:E,"FP")</f>
        <v>100000</v>
      </c>
      <c r="AJ37" s="105">
        <f>SUMIFS('手机&amp;平板保底版销售计划数量VS 实际出货'!M:M,'手机&amp;平板保底版销售计划数量VS 实际出货'!D:D,"SKD",'手机&amp;平板保底版销售计划数量VS 实际出货'!E:E,"FP")</f>
        <v>150000</v>
      </c>
      <c r="AK37" s="106">
        <f>SUMIFS('手机&amp;平板保底版销售计划数量VS 实际出货'!O:O,'手机&amp;平板保底版销售计划数量VS 实际出货'!D:D,"SKD",'手机&amp;平板保底版销售计划数量VS 实际出货'!E:E,"FP")</f>
        <v>50000</v>
      </c>
      <c r="AL37" s="106">
        <f>SUMIFS('手机&amp;平板保底版销售计划数量VS 实际出货'!Q:Q,'手机&amp;平板保底版销售计划数量VS 实际出货'!D:D,"SKD",'手机&amp;平板保底版销售计划数量VS 实际出货'!E:E,"FP")</f>
        <v>100000</v>
      </c>
      <c r="AM37" s="106">
        <f>SUMIFS('手机&amp;平板保底版销售计划数量VS 实际出货'!S:S,'手机&amp;平板保底版销售计划数量VS 实际出货'!D:D,"SKD",'手机&amp;平板保底版销售计划数量VS 实际出货'!E:E,"FP")</f>
        <v>150000</v>
      </c>
      <c r="AN37" s="106">
        <f>SUMIFS('手机&amp;平板保底版销售计划数量VS 实际出货'!U:U,'手机&amp;平板保底版销售计划数量VS 实际出货'!D:D,"SKD",'手机&amp;平板保底版销售计划数量VS 实际出货'!E:E,"FP")</f>
        <v>50000</v>
      </c>
      <c r="AO37" s="106">
        <f>SUMIFS('手机&amp;平板保底版销售计划数量VS 实际出货'!W:W,'手机&amp;平板保底版销售计划数量VS 实际出货'!D:D,"SKD",'手机&amp;平板保底版销售计划数量VS 实际出货'!E:E,"FP")</f>
        <v>100000</v>
      </c>
      <c r="AP37" s="106">
        <f>SUMIFS('手机&amp;平板保底版销售计划数量VS 实际出货'!G:G,'手机&amp;平板保底版销售计划数量VS 实际出货'!Y:Y,"SKD",'手机&amp;平板保底版销售计划数量VS 实际出货'!E:E,"FP")</f>
        <v>0</v>
      </c>
      <c r="AQ37" s="106">
        <f>SUMIFS('手机&amp;平板保底版销售计划数量VS 实际出货'!AA:AA,'手机&amp;平板保底版销售计划数量VS 实际出货'!D:D,"SKD",'手机&amp;平板保底版销售计划数量VS 实际出货'!E:E,"FP")</f>
        <v>36000</v>
      </c>
      <c r="AR37" s="106">
        <f>SUMIFS('手机&amp;平板保底版销售计划数量VS 实际出货'!AC:AC,'手机&amp;平板保底版销售计划数量VS 实际出货'!D:D,"SKD",'手机&amp;平板保底版销售计划数量VS 实际出货'!E:E,"FP")</f>
        <v>0</v>
      </c>
      <c r="AS37" s="99">
        <f t="shared" si="13"/>
        <v>836000</v>
      </c>
    </row>
    <row r="38" spans="2:45">
      <c r="B38" s="112"/>
      <c r="C38" s="112"/>
      <c r="D38" s="112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3"/>
      <c r="AA38" s="113"/>
      <c r="AB38" s="113"/>
      <c r="AF38" s="104" t="s">
        <v>282</v>
      </c>
      <c r="AG38" s="105">
        <f>SUMIFS('手机&amp;平板保底版销售计划数量VS 实际出货'!G:G,'手机&amp;平板保底版销售计划数量VS 实际出货'!D:D,"SKD",'手机&amp;平板保底版销售计划数量VS 实际出货'!E:E,"SP")</f>
        <v>44140</v>
      </c>
      <c r="AH38" s="105">
        <f>SUMIFS('手机&amp;平板保底版销售计划数量VS 实际出货'!I:I,'手机&amp;平板保底版销售计划数量VS 实际出货'!D:D,"SKD",'手机&amp;平板保底版销售计划数量VS 实际出货'!E:E,"SP")</f>
        <v>0</v>
      </c>
      <c r="AI38" s="105">
        <f>SUMIFS('手机&amp;平板保底版销售计划数量VS 实际出货'!K:K,'手机&amp;平板保底版销售计划数量VS 实际出货'!D:D,"SKD",'手机&amp;平板保底版销售计划数量VS 实际出货'!E:E,"SP")</f>
        <v>82500</v>
      </c>
      <c r="AJ38" s="105">
        <f>SUMIFS('手机&amp;平板保底版销售计划数量VS 实际出货'!M:M,'手机&amp;平板保底版销售计划数量VS 实际出货'!D:D,"SKD",'手机&amp;平板保底版销售计划数量VS 实际出货'!E:E,"SP")</f>
        <v>10000</v>
      </c>
      <c r="AK38" s="106">
        <f>SUMIFS('手机&amp;平板保底版销售计划数量VS 实际出货'!O:O,'手机&amp;平板保底版销售计划数量VS 实际出货'!D:D,"SKD",'手机&amp;平板保底版销售计划数量VS 实际出货'!E:E,"SP")</f>
        <v>60000</v>
      </c>
      <c r="AL38" s="106">
        <f>SUMIFS('手机&amp;平板保底版销售计划数量VS 实际出货'!Q:Q,'手机&amp;平板保底版销售计划数量VS 实际出货'!D:D,"SKD",'手机&amp;平板保底版销售计划数量VS 实际出货'!E:E,"SP")</f>
        <v>70000</v>
      </c>
      <c r="AM38" s="106">
        <f>SUMIFS('手机&amp;平板保底版销售计划数量VS 实际出货'!S:S,'手机&amp;平板保底版销售计划数量VS 实际出货'!D:D,"SKD",'手机&amp;平板保底版销售计划数量VS 实际出货'!E:E,"SP")</f>
        <v>120000</v>
      </c>
      <c r="AN38" s="106">
        <f>SUMIFS('手机&amp;平板保底版销售计划数量VS 实际出货'!U:U,'手机&amp;平板保底版销售计划数量VS 实际出货'!D:D,"SKD",'手机&amp;平板保底版销售计划数量VS 实际出货'!E:E,"SP")</f>
        <v>80000</v>
      </c>
      <c r="AO38" s="106">
        <f>SUMIFS('手机&amp;平板保底版销售计划数量VS 实际出货'!W:W,'手机&amp;平板保底版销售计划数量VS 实际出货'!D:D,"SKD",'手机&amp;平板保底版销售计划数量VS 实际出货'!E:E,"SP")</f>
        <v>70000</v>
      </c>
      <c r="AP38" s="106">
        <f>SUMIFS('手机&amp;平板保底版销售计划数量VS 实际出货'!Y:Y,'手机&amp;平板保底版销售计划数量VS 实际出货'!D:D,"SKD",'手机&amp;平板保底版销售计划数量VS 实际出货'!E:E,"SP")</f>
        <v>70000</v>
      </c>
      <c r="AQ38" s="106">
        <f>SUMIFS('手机&amp;平板保底版销售计划数量VS 实际出货'!AA:AA,'手机&amp;平板保底版销售计划数量VS 实际出货'!D:D,"SKD",'手机&amp;平板保底版销售计划数量VS 实际出货'!E:E,"SP")</f>
        <v>40000</v>
      </c>
      <c r="AR38" s="106">
        <f>SUMIFS('手机&amp;平板保底版销售计划数量VS 实际出货'!AC:AC,'手机&amp;平板保底版销售计划数量VS 实际出货'!D:D,"SKD",'手机&amp;平板保底版销售计划数量VS 实际出货'!E:E,"SP")</f>
        <v>60000</v>
      </c>
      <c r="AS38" s="99">
        <f t="shared" si="13"/>
        <v>706640</v>
      </c>
    </row>
    <row r="39" spans="2:45">
      <c r="C39" s="114"/>
      <c r="D39" s="114"/>
      <c r="AF39" s="95" t="s">
        <v>38</v>
      </c>
      <c r="AG39" s="96">
        <f>SUMIF('手机&amp;平板保底版销售计划数量VS 实际出货'!D:D,"CKD",'手机&amp;平板保底版销售计划数量VS 实际出货'!G:G)</f>
        <v>1520000</v>
      </c>
      <c r="AH39" s="96">
        <f>SUMIF('手机&amp;平板保底版销售计划数量VS 实际出货'!D:D,"CKD",'手机&amp;平板保底版销售计划数量VS 实际出货'!I:I)</f>
        <v>1300000</v>
      </c>
      <c r="AI39" s="96">
        <f>SUMIF('手机&amp;平板保底版销售计划数量VS 实际出货'!D:D,"CKD",'手机&amp;平板保底版销售计划数量VS 实际出货'!K:K)</f>
        <v>1210000</v>
      </c>
      <c r="AJ39" s="96">
        <f>SUMIF('手机&amp;平板保底版销售计划数量VS 实际出货'!D:D,"CKD",'手机&amp;平板保底版销售计划数量VS 实际出货'!M:M)</f>
        <v>1160000</v>
      </c>
      <c r="AK39" s="97">
        <f>SUMIF('手机&amp;平板保底版销售计划数量VS 实际出货'!D:D,"CKD",'手机&amp;平板保底版销售计划数量VS 实际出货'!O:O)</f>
        <v>1320000</v>
      </c>
      <c r="AL39" s="97">
        <f>SUMIF('手机&amp;平板保底版销售计划数量VS 实际出货'!D:D,"CKD",'手机&amp;平板保底版销售计划数量VS 实际出货'!Q:Q)</f>
        <v>1310000</v>
      </c>
      <c r="AM39" s="97">
        <f>SUMIF('手机&amp;平板保底版销售计划数量VS 实际出货'!D:D,"CKD",'手机&amp;平板保底版销售计划数量VS 实际出货'!S:S)</f>
        <v>1590000</v>
      </c>
      <c r="AN39" s="97">
        <f>SUMIF('手机&amp;平板保底版销售计划数量VS 实际出货'!D:D,"CKD",'手机&amp;平板保底版销售计划数量VS 实际出货'!U:U)</f>
        <v>1550000</v>
      </c>
      <c r="AO39" s="97">
        <f>SUMIF('手机&amp;平板保底版销售计划数量VS 实际出货'!D:D,"CKD",'手机&amp;平板保底版销售计划数量VS 实际出货'!W:W)</f>
        <v>1740000</v>
      </c>
      <c r="AP39" s="97">
        <f>SUMIF('手机&amp;平板保底版销售计划数量VS 实际出货'!D:D,"CKD",'手机&amp;平板保底版销售计划数量VS 实际出货'!Y:Y)</f>
        <v>1760000</v>
      </c>
      <c r="AQ39" s="97">
        <f>SUMIF('手机&amp;平板保底版销售计划数量VS 实际出货'!D:D,"CKD",'手机&amp;平板保底版销售计划数量VS 实际出货'!AA:AA)</f>
        <v>1160000</v>
      </c>
      <c r="AR39" s="97">
        <f>SUMIF('手机&amp;平板保底版销售计划数量VS 实际出货'!D:D,"CKD",'手机&amp;平板保底版销售计划数量VS 实际出货'!AC:AC)</f>
        <v>1083000</v>
      </c>
      <c r="AS39" s="99">
        <f t="shared" si="13"/>
        <v>16703000</v>
      </c>
    </row>
    <row r="40" ht="14.25" spans="2:45">
      <c r="B40" s="115"/>
      <c r="C40" s="115"/>
      <c r="D40" s="115"/>
      <c r="AF40" s="108" t="s">
        <v>280</v>
      </c>
      <c r="AG40" s="109">
        <f>SUM(AG34:AG39)</f>
        <v>2011383</v>
      </c>
      <c r="AH40" s="109">
        <f t="shared" ref="AH40:AS40" si="16">SUM(AH34:AH39)</f>
        <v>1675544</v>
      </c>
      <c r="AI40" s="109">
        <f t="shared" si="16"/>
        <v>1845213</v>
      </c>
      <c r="AJ40" s="109">
        <f t="shared" si="16"/>
        <v>1583258</v>
      </c>
      <c r="AK40" s="109">
        <f t="shared" si="16"/>
        <v>2225000</v>
      </c>
      <c r="AL40" s="109">
        <f t="shared" si="16"/>
        <v>2180000</v>
      </c>
      <c r="AM40" s="109">
        <f t="shared" si="16"/>
        <v>2765000</v>
      </c>
      <c r="AN40" s="109">
        <f t="shared" si="16"/>
        <v>2805000</v>
      </c>
      <c r="AO40" s="109">
        <f t="shared" si="16"/>
        <v>2937422</v>
      </c>
      <c r="AP40" s="109">
        <f t="shared" si="16"/>
        <v>2835000</v>
      </c>
      <c r="AQ40" s="109">
        <f t="shared" si="16"/>
        <v>2081000</v>
      </c>
      <c r="AR40" s="109">
        <f t="shared" si="16"/>
        <v>2040750</v>
      </c>
      <c r="AS40" s="116">
        <f t="shared" si="16"/>
        <v>26984570</v>
      </c>
    </row>
    <row r="41" ht="16.5" customHeight="1" spans="2:45">
      <c r="B41" s="115"/>
      <c r="C41" s="115"/>
      <c r="D41" s="115"/>
      <c r="AG41" s="117"/>
      <c r="AH41" s="117"/>
      <c r="AI41" s="90"/>
    </row>
    <row r="42" ht="16.5" customHeight="1" spans="2:45">
      <c r="B42" s="115"/>
      <c r="C42" s="115"/>
      <c r="D42" s="115"/>
      <c r="AG42" s="117"/>
      <c r="AH42" s="117"/>
      <c r="AI42" s="90"/>
    </row>
    <row r="43" ht="16.5" customHeight="1" spans="2:45">
      <c r="B43" s="115"/>
      <c r="C43" s="115"/>
      <c r="D43" s="115"/>
      <c r="K43" s="118"/>
      <c r="L43" s="118"/>
      <c r="M43" s="118"/>
      <c r="N43" s="118"/>
      <c r="O43" s="118"/>
      <c r="P43" s="118"/>
      <c r="Q43" s="118"/>
      <c r="R43" s="118"/>
      <c r="AG43" s="117"/>
      <c r="AH43" s="117"/>
      <c r="AI43" s="90"/>
    </row>
    <row r="44" spans="2:45">
      <c r="B44" s="115"/>
      <c r="C44" s="115"/>
      <c r="D44" s="115"/>
      <c r="AG44" s="117"/>
      <c r="AH44" s="117"/>
      <c r="AI44" s="90"/>
    </row>
    <row r="45" ht="16.5" customHeight="1" spans="2:45">
      <c r="B45" s="115"/>
      <c r="C45" s="115"/>
      <c r="D45" s="115"/>
      <c r="AG45" s="117"/>
      <c r="AH45" s="117"/>
      <c r="AI45" s="90"/>
    </row>
    <row r="46" ht="18.75" customHeight="1" spans="2:45">
      <c r="B46" s="115"/>
      <c r="C46" s="115"/>
      <c r="D46" s="115"/>
      <c r="AG46" s="117"/>
      <c r="AH46" s="117"/>
      <c r="AI46" s="90"/>
    </row>
    <row r="47" ht="16.5" customHeight="1" spans="2:45">
      <c r="B47" s="119"/>
      <c r="C47" s="119"/>
      <c r="D47" s="119"/>
      <c r="E47" s="118"/>
      <c r="F47" s="118"/>
      <c r="G47" s="118"/>
      <c r="H47" s="118"/>
      <c r="I47" s="118"/>
      <c r="J47" s="118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AF47" s="115"/>
      <c r="AG47" s="117"/>
      <c r="AH47" s="117"/>
      <c r="AI47" s="90"/>
      <c r="AJ47" s="115"/>
    </row>
    <row r="48" ht="16.5" customHeight="1" spans="2:45">
      <c r="B48" s="119"/>
      <c r="C48" s="119"/>
      <c r="D48" s="119"/>
      <c r="AG48" s="117"/>
      <c r="AH48" s="117"/>
      <c r="AI48" s="90"/>
    </row>
    <row r="49" ht="16.5" customHeight="1" spans="2:35">
      <c r="B49" s="119"/>
      <c r="C49" s="119"/>
      <c r="D49" s="119"/>
      <c r="AG49" s="117"/>
      <c r="AH49" s="117"/>
      <c r="AI49" s="90"/>
    </row>
    <row r="50" ht="16.5" customHeight="1" spans="2:35">
      <c r="B50" s="119"/>
      <c r="C50" s="119"/>
      <c r="D50" s="119"/>
      <c r="S50" s="118"/>
      <c r="T50" s="118"/>
      <c r="AF50" s="118"/>
      <c r="AG50" s="118"/>
      <c r="AH50" s="118"/>
      <c r="AI50" s="118"/>
    </row>
    <row r="51" ht="16.5" customHeight="1" spans="2:35">
      <c r="B51" s="119"/>
      <c r="C51" s="119"/>
      <c r="D51" s="119"/>
    </row>
    <row r="52" ht="13.85" spans="2:35">
      <c r="B52" s="120"/>
      <c r="C52" s="120"/>
      <c r="D52" s="120"/>
    </row>
    <row r="53" ht="13.85" spans="2:35">
      <c r="B53" s="120"/>
      <c r="C53" s="120"/>
      <c r="D53" s="120"/>
    </row>
    <row r="54" ht="13.85" spans="2:35">
      <c r="B54" s="120"/>
      <c r="C54" s="120"/>
      <c r="D54" s="120"/>
    </row>
    <row r="55" ht="13.85" spans="2:35">
      <c r="B55" s="120"/>
      <c r="C55" s="120"/>
      <c r="D55" s="120"/>
    </row>
    <row r="56" ht="13.85" spans="2:35">
      <c r="B56" s="120"/>
      <c r="C56" s="120"/>
      <c r="D56" s="120"/>
    </row>
    <row r="58" spans="2:35">
      <c r="K58" s="68"/>
      <c r="L58" s="68"/>
    </row>
    <row r="59" spans="2:35">
      <c r="K59" s="68"/>
      <c r="L59" s="68"/>
    </row>
  </sheetData>
  <mergeCells count="12">
    <mergeCell ref="C2:AB2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2:B3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27"/>
  <sheetViews>
    <sheetView showGridLines="0" workbookViewId="0">
      <pane ySplit="3" topLeftCell="A21" activePane="bottomLeft" state="frozen"/>
      <selection/>
      <selection pane="bottomLeft" activeCell="G24" sqref="G24"/>
    </sheetView>
  </sheetViews>
  <sheetFormatPr defaultColWidth="9" defaultRowHeight="13.5"/>
  <cols>
    <col min="1" max="1" width="2.72566371681416" customWidth="1"/>
    <col min="2" max="2" width="8.36283185840708" customWidth="1"/>
    <col min="3" max="4" width="7.8141592920354" customWidth="1"/>
    <col min="5" max="5" width="8.08849557522124" customWidth="1"/>
    <col min="6" max="6" width="6.26548672566372" customWidth="1"/>
    <col min="7" max="7" width="9" customWidth="1"/>
    <col min="8" max="10" width="8.8141592920354" customWidth="1"/>
    <col min="11" max="11" width="8.36283185840708" customWidth="1"/>
    <col min="12" max="12" width="12.0884955752212" customWidth="1"/>
    <col min="13" max="13" width="9.08849557522124" customWidth="1"/>
    <col min="14" max="14" width="11.2654867256637" customWidth="1"/>
    <col min="15" max="15" width="8.36283185840708" customWidth="1"/>
    <col min="16" max="16" width="10.7256637168142" customWidth="1"/>
    <col min="17" max="17" width="12.3628318584071" customWidth="1"/>
    <col min="18" max="18" width="13.6371681415929" customWidth="1"/>
    <col min="19" max="19" width="9.63716814159292" customWidth="1"/>
    <col min="20" max="21" width="10.2654867256637" customWidth="1"/>
    <col min="22" max="22" width="9.63716814159292" customWidth="1"/>
    <col min="23" max="24" width="10.2654867256637" customWidth="1"/>
    <col min="25" max="25" width="9.63716814159292" customWidth="1"/>
    <col min="26" max="27" width="10.2654867256637" customWidth="1"/>
    <col min="28" max="28" width="9.63716814159292" customWidth="1"/>
    <col min="29" max="30" width="10.2654867256637" hidden="1" customWidth="1"/>
    <col min="31" max="31" width="9.63716814159292" hidden="1" customWidth="1"/>
    <col min="32" max="33" width="10.2654867256637" hidden="1" customWidth="1"/>
    <col min="34" max="34" width="9.63716814159292" hidden="1" customWidth="1"/>
    <col min="35" max="36" width="10.2654867256637" hidden="1" customWidth="1"/>
    <col min="37" max="37" width="9.63716814159292" hidden="1" customWidth="1"/>
    <col min="38" max="39" width="10.2654867256637" customWidth="1"/>
    <col min="40" max="40" width="9.63716814159292" customWidth="1"/>
    <col min="41" max="41" width="10.4513274336283" customWidth="1"/>
  </cols>
  <sheetData>
    <row r="1" ht="13.85" spans="1:38"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ht="14.6" spans="1:38">
      <c r="A2" s="4"/>
      <c r="B2" s="5" t="s">
        <v>0</v>
      </c>
      <c r="C2" s="6" t="s">
        <v>283</v>
      </c>
      <c r="D2" s="7"/>
      <c r="E2" s="7"/>
      <c r="F2" s="7"/>
      <c r="G2" s="6" t="s">
        <v>284</v>
      </c>
      <c r="H2" s="7"/>
      <c r="I2" s="7"/>
      <c r="J2" s="7"/>
      <c r="K2" s="8" t="s">
        <v>285</v>
      </c>
      <c r="L2" s="9"/>
      <c r="M2" s="9"/>
      <c r="N2" s="10"/>
      <c r="O2" s="11" t="s">
        <v>286</v>
      </c>
      <c r="P2" s="12"/>
      <c r="Q2" s="12"/>
      <c r="R2" s="13"/>
      <c r="S2" s="13"/>
      <c r="T2" s="13"/>
      <c r="U2" s="13"/>
      <c r="V2" s="13"/>
      <c r="W2" s="13"/>
      <c r="X2" s="13"/>
      <c r="Y2" s="13"/>
      <c r="Z2" s="13"/>
    </row>
    <row r="3" ht="29.25" spans="1:38">
      <c r="A3" s="4"/>
      <c r="B3" s="5"/>
      <c r="C3" s="14" t="s">
        <v>287</v>
      </c>
      <c r="D3" s="14" t="s">
        <v>288</v>
      </c>
      <c r="E3" s="15" t="s">
        <v>289</v>
      </c>
      <c r="F3" s="15" t="s">
        <v>290</v>
      </c>
      <c r="G3" s="14" t="s">
        <v>287</v>
      </c>
      <c r="H3" s="14" t="s">
        <v>288</v>
      </c>
      <c r="I3" s="15" t="s">
        <v>289</v>
      </c>
      <c r="J3" s="15" t="s">
        <v>290</v>
      </c>
      <c r="K3" s="16" t="s">
        <v>287</v>
      </c>
      <c r="L3" s="17" t="s">
        <v>291</v>
      </c>
      <c r="M3" s="18" t="s">
        <v>289</v>
      </c>
      <c r="N3" s="6" t="s">
        <v>292</v>
      </c>
      <c r="O3" s="19" t="s">
        <v>293</v>
      </c>
      <c r="P3" s="20" t="s">
        <v>294</v>
      </c>
      <c r="Q3" s="21" t="s">
        <v>295</v>
      </c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</row>
    <row r="4" ht="14.6" spans="1:38">
      <c r="A4" s="4"/>
      <c r="B4" s="23" t="s">
        <v>237</v>
      </c>
      <c r="C4" s="24">
        <f>SUM(C5:C17)</f>
        <v>110197.726297277</v>
      </c>
      <c r="D4" s="24">
        <f>SUM(D5:D17)</f>
        <v>89155.5482181964</v>
      </c>
      <c r="E4" s="25">
        <f>D4-C4</f>
        <v>-21042.178079081</v>
      </c>
      <c r="F4" s="26">
        <f t="shared" ref="F4:F9" si="0">D4/C4</f>
        <v>0.809050705616955</v>
      </c>
      <c r="G4" s="24">
        <f>SUM(G5:G17)</f>
        <v>15886.8775</v>
      </c>
      <c r="H4" s="24">
        <f>SUM(H5:H17)</f>
        <v>6844</v>
      </c>
      <c r="I4" s="25">
        <f t="shared" ref="I4:I6" si="1">H4-G4</f>
        <v>-9042.8775</v>
      </c>
      <c r="J4" s="26">
        <f t="shared" ref="J4:J6" si="2">H4/G4</f>
        <v>0.4307957935724</v>
      </c>
      <c r="K4" s="27">
        <f>SUM(K5:K17)</f>
        <v>181942.776297277</v>
      </c>
      <c r="L4" s="24" t="e">
        <f>SUM(L5:L17)</f>
        <v>#REF!</v>
      </c>
      <c r="M4" s="25" t="e">
        <f t="shared" ref="M4:M17" si="3">L4-K4</f>
        <v>#REF!</v>
      </c>
      <c r="N4" s="28" t="e">
        <f t="shared" ref="N4:N9" si="4">L4/K4</f>
        <v>#REF!</v>
      </c>
      <c r="O4" s="27">
        <f>SUM(O5:O17)</f>
        <v>181942.776297277</v>
      </c>
      <c r="P4" s="29">
        <f>D4/O4</f>
        <v>0.490019719565698</v>
      </c>
      <c r="Q4" s="30" t="e">
        <f>L4/O4</f>
        <v>#REF!</v>
      </c>
      <c r="S4" s="31"/>
      <c r="T4" s="31"/>
    </row>
    <row r="5" outlineLevel="2" spans="1:38">
      <c r="A5" s="4"/>
      <c r="B5" s="32" t="s">
        <v>35</v>
      </c>
      <c r="C5" s="33">
        <v>27475.113169</v>
      </c>
      <c r="D5" s="33">
        <v>22499.89445123</v>
      </c>
      <c r="E5" s="34">
        <f>D5-C5</f>
        <v>-4975.21871777</v>
      </c>
      <c r="F5" s="35">
        <f t="shared" si="0"/>
        <v>0.818919081891772</v>
      </c>
      <c r="G5" s="33">
        <v>5766.215</v>
      </c>
      <c r="H5" s="33">
        <v>1462</v>
      </c>
      <c r="I5" s="34">
        <f t="shared" si="1"/>
        <v>-4304.215</v>
      </c>
      <c r="J5" s="35">
        <f t="shared" si="2"/>
        <v>0.253545870211222</v>
      </c>
      <c r="K5" s="36">
        <v>52553.413169</v>
      </c>
      <c r="L5" s="33" t="e">
        <f>D5+SUMIF(#REF!,B5,#REF!)</f>
        <v>#REF!</v>
      </c>
      <c r="M5" s="34" t="e">
        <f t="shared" si="3"/>
        <v>#REF!</v>
      </c>
      <c r="N5" s="37" t="e">
        <f t="shared" si="4"/>
        <v>#REF!</v>
      </c>
      <c r="O5" s="36">
        <v>52553.413169</v>
      </c>
      <c r="P5" s="38">
        <f>D5/O5</f>
        <v>0.428133837451725</v>
      </c>
      <c r="Q5" s="39" t="e">
        <f>L5/O5</f>
        <v>#REF!</v>
      </c>
      <c r="R5" s="31"/>
      <c r="S5" s="31"/>
    </row>
    <row r="6" outlineLevel="2" spans="1:38">
      <c r="A6" s="4"/>
      <c r="B6" s="40" t="s">
        <v>58</v>
      </c>
      <c r="C6" s="41">
        <v>15713.441700532</v>
      </c>
      <c r="D6" s="41">
        <v>14125.722839377</v>
      </c>
      <c r="E6" s="42">
        <f>D6-C6</f>
        <v>-1587.718861155</v>
      </c>
      <c r="F6" s="43">
        <f t="shared" si="0"/>
        <v>0.898957918232436</v>
      </c>
      <c r="G6" s="41">
        <v>1912.3325</v>
      </c>
      <c r="H6" s="41">
        <v>84</v>
      </c>
      <c r="I6" s="42">
        <f t="shared" si="1"/>
        <v>-1828.3325</v>
      </c>
      <c r="J6" s="43">
        <f t="shared" si="2"/>
        <v>0.0439254156900016</v>
      </c>
      <c r="K6" s="44">
        <v>23362.771700532</v>
      </c>
      <c r="L6" s="41" t="e">
        <f>D6+SUMIF(#REF!,B6,#REF!)</f>
        <v>#REF!</v>
      </c>
      <c r="M6" s="42" t="e">
        <f t="shared" si="3"/>
        <v>#REF!</v>
      </c>
      <c r="N6" s="45" t="e">
        <f t="shared" si="4"/>
        <v>#REF!</v>
      </c>
      <c r="O6" s="44">
        <v>23362.771700532</v>
      </c>
      <c r="P6" s="46">
        <f>D6/O6</f>
        <v>0.604625299619537</v>
      </c>
      <c r="Q6" s="47" t="e">
        <f>L6/O6</f>
        <v>#REF!</v>
      </c>
      <c r="R6" s="31"/>
      <c r="S6" s="31"/>
    </row>
    <row r="7" s="1" customFormat="1" outlineLevel="2" spans="1:38">
      <c r="A7" s="48"/>
      <c r="B7" s="49" t="s">
        <v>52</v>
      </c>
      <c r="C7" s="50">
        <v>16331.12117408</v>
      </c>
      <c r="D7" s="33">
        <v>11473.07462914</v>
      </c>
      <c r="E7" s="51">
        <f>D7-C7</f>
        <v>-4858.04654494</v>
      </c>
      <c r="F7" s="52">
        <f t="shared" si="0"/>
        <v>0.702528289812063</v>
      </c>
      <c r="G7" s="33">
        <v>2618.2</v>
      </c>
      <c r="H7" s="33">
        <v>148</v>
      </c>
      <c r="I7" s="51">
        <f t="shared" ref="I7:I17" si="5">H7-G7</f>
        <v>-2470.2</v>
      </c>
      <c r="J7" s="52">
        <f t="shared" ref="J7:J17" si="6">H7/G7</f>
        <v>0.0565273852264915</v>
      </c>
      <c r="K7" s="36">
        <v>26052.52117408</v>
      </c>
      <c r="L7" s="33" t="e">
        <f>D7+SUMIF(#REF!,B7,#REF!)</f>
        <v>#REF!</v>
      </c>
      <c r="M7" s="51" t="e">
        <f t="shared" si="3"/>
        <v>#REF!</v>
      </c>
      <c r="N7" s="37" t="e">
        <f t="shared" si="4"/>
        <v>#REF!</v>
      </c>
      <c r="O7" s="36">
        <v>26052.52117408</v>
      </c>
      <c r="P7" s="38">
        <f t="shared" ref="P7:P17" si="7">D7/O7</f>
        <v>0.440382508567145</v>
      </c>
      <c r="Q7" s="39" t="e">
        <f t="shared" ref="Q7:Q17" si="8">L7/O7</f>
        <v>#REF!</v>
      </c>
      <c r="R7" s="53"/>
      <c r="S7" s="53"/>
    </row>
    <row r="8" outlineLevel="2" spans="1:38">
      <c r="A8" s="4"/>
      <c r="B8" s="40" t="s">
        <v>71</v>
      </c>
      <c r="C8" s="41">
        <v>8863.87554494</v>
      </c>
      <c r="D8" s="41">
        <v>7090.572569434</v>
      </c>
      <c r="E8" s="42">
        <f t="shared" ref="E8:E17" si="9">D8-C8</f>
        <v>-1773.302975506</v>
      </c>
      <c r="F8" s="43">
        <f t="shared" si="0"/>
        <v>0.799940447435738</v>
      </c>
      <c r="G8" s="41">
        <v>721.825</v>
      </c>
      <c r="H8" s="41">
        <v>518</v>
      </c>
      <c r="I8" s="42">
        <f t="shared" si="5"/>
        <v>-203.825</v>
      </c>
      <c r="J8" s="43">
        <f t="shared" si="6"/>
        <v>0.717625463235549</v>
      </c>
      <c r="K8" s="44">
        <v>13701.17554494</v>
      </c>
      <c r="L8" s="41" t="e">
        <f>D8+SUMIF(#REF!,B8,#REF!)</f>
        <v>#REF!</v>
      </c>
      <c r="M8" s="42" t="e">
        <f t="shared" si="3"/>
        <v>#REF!</v>
      </c>
      <c r="N8" s="45" t="e">
        <f t="shared" si="4"/>
        <v>#REF!</v>
      </c>
      <c r="O8" s="44">
        <v>13701.17554494</v>
      </c>
      <c r="P8" s="46">
        <f t="shared" si="7"/>
        <v>0.517515635514401</v>
      </c>
      <c r="Q8" s="47" t="e">
        <f t="shared" si="8"/>
        <v>#REF!</v>
      </c>
      <c r="R8" s="31"/>
      <c r="S8" s="31"/>
    </row>
    <row r="9" s="1" customFormat="1" outlineLevel="2" spans="1:38">
      <c r="A9" s="48"/>
      <c r="B9" s="49" t="s">
        <v>296</v>
      </c>
      <c r="C9" s="50">
        <v>4868.108687</v>
      </c>
      <c r="D9" s="33">
        <v>7842.6671615</v>
      </c>
      <c r="E9" s="51">
        <f t="shared" si="9"/>
        <v>2974.5584745</v>
      </c>
      <c r="F9" s="52">
        <f t="shared" si="0"/>
        <v>1.61102959398655</v>
      </c>
      <c r="G9" s="33">
        <v>0</v>
      </c>
      <c r="H9" s="33">
        <v>2024</v>
      </c>
      <c r="I9" s="51">
        <f t="shared" si="5"/>
        <v>2024</v>
      </c>
      <c r="J9" s="52">
        <v>1</v>
      </c>
      <c r="K9" s="36">
        <v>9548.108687</v>
      </c>
      <c r="L9" s="33" t="e">
        <f>D9+SUMIF(#REF!,B9,#REF!)</f>
        <v>#REF!</v>
      </c>
      <c r="M9" s="51" t="e">
        <f t="shared" si="3"/>
        <v>#REF!</v>
      </c>
      <c r="N9" s="37" t="e">
        <f t="shared" si="4"/>
        <v>#REF!</v>
      </c>
      <c r="O9" s="36">
        <v>9548.108687</v>
      </c>
      <c r="P9" s="38">
        <f t="shared" si="7"/>
        <v>0.821384361928975</v>
      </c>
      <c r="Q9" s="39" t="e">
        <f t="shared" si="8"/>
        <v>#REF!</v>
      </c>
      <c r="R9" s="53"/>
      <c r="S9" s="53"/>
    </row>
    <row r="10" outlineLevel="2" spans="1:38">
      <c r="A10" s="4"/>
      <c r="B10" s="40" t="s">
        <v>297</v>
      </c>
      <c r="C10" s="41">
        <v>4749.5822578</v>
      </c>
      <c r="D10" s="41">
        <v>4845.42001726</v>
      </c>
      <c r="E10" s="42">
        <f t="shared" si="9"/>
        <v>95.8377594600006</v>
      </c>
      <c r="F10" s="43">
        <f t="shared" ref="F10:F17" si="10">D10/C10</f>
        <v>1.02017814499425</v>
      </c>
      <c r="G10" s="41">
        <v>463.125</v>
      </c>
      <c r="H10" s="41">
        <v>487</v>
      </c>
      <c r="I10" s="42">
        <f t="shared" si="5"/>
        <v>23.875</v>
      </c>
      <c r="J10" s="43">
        <f t="shared" si="6"/>
        <v>1.05155195681511</v>
      </c>
      <c r="K10" s="44">
        <v>6602.0822578</v>
      </c>
      <c r="L10" s="41" t="e">
        <f>D10+SUMIF(#REF!,B10,#REF!)</f>
        <v>#REF!</v>
      </c>
      <c r="M10" s="42" t="e">
        <f t="shared" si="3"/>
        <v>#REF!</v>
      </c>
      <c r="N10" s="45" t="e">
        <f t="shared" ref="N10:N17" si="11">L10/K10</f>
        <v>#REF!</v>
      </c>
      <c r="O10" s="44">
        <v>6602.0822578</v>
      </c>
      <c r="P10" s="46">
        <f t="shared" si="7"/>
        <v>0.733923000055839</v>
      </c>
      <c r="Q10" s="47" t="e">
        <f t="shared" si="8"/>
        <v>#REF!</v>
      </c>
      <c r="R10" s="31"/>
      <c r="S10" s="31"/>
    </row>
    <row r="11" s="1" customFormat="1" outlineLevel="2" spans="1:38">
      <c r="A11" s="48"/>
      <c r="B11" s="49" t="s">
        <v>298</v>
      </c>
      <c r="C11" s="50">
        <v>1240.878042619</v>
      </c>
      <c r="D11" s="33">
        <v>717.753078619</v>
      </c>
      <c r="E11" s="51">
        <f t="shared" si="9"/>
        <v>-523.124964</v>
      </c>
      <c r="F11" s="52">
        <f t="shared" si="10"/>
        <v>0.57842354684922</v>
      </c>
      <c r="G11" s="33">
        <v>0</v>
      </c>
      <c r="H11" s="33">
        <v>304</v>
      </c>
      <c r="I11" s="51">
        <f t="shared" si="5"/>
        <v>304</v>
      </c>
      <c r="J11" s="52">
        <v>1</v>
      </c>
      <c r="K11" s="36">
        <v>1240.878042619</v>
      </c>
      <c r="L11" s="33" t="e">
        <f>D11+SUMIF(#REF!,B11,#REF!)</f>
        <v>#REF!</v>
      </c>
      <c r="M11" s="51" t="e">
        <f t="shared" si="3"/>
        <v>#REF!</v>
      </c>
      <c r="N11" s="37" t="e">
        <f t="shared" si="11"/>
        <v>#REF!</v>
      </c>
      <c r="O11" s="36">
        <v>1240.878042619</v>
      </c>
      <c r="P11" s="54">
        <f t="shared" si="7"/>
        <v>0.57842354684922</v>
      </c>
      <c r="Q11" s="54" t="e">
        <f t="shared" si="8"/>
        <v>#REF!</v>
      </c>
      <c r="R11" s="53"/>
      <c r="S11" s="53"/>
    </row>
    <row r="12" outlineLevel="2" spans="1:38">
      <c r="A12" s="4"/>
      <c r="B12" s="40" t="s">
        <v>299</v>
      </c>
      <c r="C12" s="41">
        <v>3500.40365</v>
      </c>
      <c r="D12" s="41">
        <v>4152.381809</v>
      </c>
      <c r="E12" s="42">
        <f t="shared" si="9"/>
        <v>651.978159</v>
      </c>
      <c r="F12" s="43">
        <f t="shared" si="10"/>
        <v>1.18625799313173</v>
      </c>
      <c r="G12" s="41">
        <v>0</v>
      </c>
      <c r="H12" s="41">
        <v>437</v>
      </c>
      <c r="I12" s="42">
        <f t="shared" si="5"/>
        <v>437</v>
      </c>
      <c r="J12" s="43">
        <v>1.44</v>
      </c>
      <c r="K12" s="44">
        <v>3500.40365</v>
      </c>
      <c r="L12" s="41" t="e">
        <f>D12+SUMIF(#REF!,B12,#REF!)</f>
        <v>#REF!</v>
      </c>
      <c r="M12" s="42" t="e">
        <f t="shared" si="3"/>
        <v>#REF!</v>
      </c>
      <c r="N12" s="45" t="e">
        <f t="shared" si="11"/>
        <v>#REF!</v>
      </c>
      <c r="O12" s="44">
        <v>3500.40365</v>
      </c>
      <c r="P12" s="55">
        <f t="shared" si="7"/>
        <v>1.18625799313173</v>
      </c>
      <c r="Q12" s="55" t="e">
        <f t="shared" si="8"/>
        <v>#REF!</v>
      </c>
      <c r="R12" s="31"/>
      <c r="S12" s="31"/>
    </row>
    <row r="13" s="1" customFormat="1" outlineLevel="2" spans="1:38">
      <c r="A13" s="48"/>
      <c r="B13" s="49" t="s">
        <v>300</v>
      </c>
      <c r="C13" s="50">
        <v>9626.3688124144</v>
      </c>
      <c r="D13" s="33">
        <v>6845.4689907744</v>
      </c>
      <c r="E13" s="51">
        <f t="shared" si="9"/>
        <v>-2780.89982164</v>
      </c>
      <c r="F13" s="52">
        <f t="shared" si="10"/>
        <v>0.711116426574714</v>
      </c>
      <c r="G13" s="33">
        <v>2141.75</v>
      </c>
      <c r="H13" s="33">
        <v>1286</v>
      </c>
      <c r="I13" s="51">
        <f t="shared" si="5"/>
        <v>-855.75</v>
      </c>
      <c r="J13" s="52">
        <f t="shared" si="6"/>
        <v>0.600443562507295</v>
      </c>
      <c r="K13" s="36">
        <v>18203.1188124144</v>
      </c>
      <c r="L13" s="33" t="e">
        <f>D13+SUMIF(#REF!,B13,#REF!)</f>
        <v>#REF!</v>
      </c>
      <c r="M13" s="51" t="e">
        <f t="shared" si="3"/>
        <v>#REF!</v>
      </c>
      <c r="N13" s="37" t="e">
        <f t="shared" si="11"/>
        <v>#REF!</v>
      </c>
      <c r="O13" s="36">
        <v>18203.1188124144</v>
      </c>
      <c r="P13" s="54">
        <f t="shared" si="7"/>
        <v>0.376060226893967</v>
      </c>
      <c r="Q13" s="54" t="e">
        <f t="shared" si="8"/>
        <v>#REF!</v>
      </c>
      <c r="R13" s="53"/>
      <c r="S13" s="53"/>
    </row>
    <row r="14" outlineLevel="2" spans="1:38">
      <c r="A14" s="4"/>
      <c r="B14" s="40" t="s">
        <v>301</v>
      </c>
      <c r="C14" s="41">
        <v>1416.5658</v>
      </c>
      <c r="D14" s="41">
        <v>0</v>
      </c>
      <c r="E14" s="42">
        <f t="shared" si="9"/>
        <v>-1416.5658</v>
      </c>
      <c r="F14" s="43">
        <f t="shared" si="10"/>
        <v>0</v>
      </c>
      <c r="G14" s="41">
        <v>0</v>
      </c>
      <c r="H14" s="41">
        <v>0</v>
      </c>
      <c r="I14" s="42">
        <f t="shared" si="5"/>
        <v>0</v>
      </c>
      <c r="J14" s="43" t="e">
        <f t="shared" si="6"/>
        <v>#DIV/0!</v>
      </c>
      <c r="K14" s="44">
        <v>1416.5658</v>
      </c>
      <c r="L14" s="41" t="e">
        <f>D14+SUMIF(#REF!,B14,#REF!)</f>
        <v>#REF!</v>
      </c>
      <c r="M14" s="42" t="e">
        <f t="shared" si="3"/>
        <v>#REF!</v>
      </c>
      <c r="N14" s="45" t="e">
        <f t="shared" si="11"/>
        <v>#REF!</v>
      </c>
      <c r="O14" s="44">
        <v>1416.5658</v>
      </c>
      <c r="P14" s="55">
        <f t="shared" si="7"/>
        <v>0</v>
      </c>
      <c r="Q14" s="55" t="e">
        <f t="shared" si="8"/>
        <v>#REF!</v>
      </c>
      <c r="R14" s="31"/>
      <c r="S14" s="31"/>
    </row>
    <row r="15" s="1" customFormat="1" outlineLevel="2" spans="1:38">
      <c r="A15" s="48"/>
      <c r="B15" s="49" t="s">
        <v>96</v>
      </c>
      <c r="C15" s="50">
        <v>12543.38044444</v>
      </c>
      <c r="D15" s="33">
        <v>6888.94499676</v>
      </c>
      <c r="E15" s="51">
        <f t="shared" si="9"/>
        <v>-5654.43544768</v>
      </c>
      <c r="F15" s="52">
        <f t="shared" si="10"/>
        <v>0.549209603206575</v>
      </c>
      <c r="G15" s="33">
        <v>1547</v>
      </c>
      <c r="H15" s="33">
        <v>0</v>
      </c>
      <c r="I15" s="51">
        <f t="shared" si="5"/>
        <v>-1547</v>
      </c>
      <c r="J15" s="52">
        <f t="shared" si="6"/>
        <v>0</v>
      </c>
      <c r="K15" s="36">
        <v>19027.13044444</v>
      </c>
      <c r="L15" s="33" t="e">
        <f>D15+SUMIF(#REF!,B15,#REF!)</f>
        <v>#REF!</v>
      </c>
      <c r="M15" s="51" t="e">
        <f t="shared" si="3"/>
        <v>#REF!</v>
      </c>
      <c r="N15" s="37" t="e">
        <f t="shared" si="11"/>
        <v>#REF!</v>
      </c>
      <c r="O15" s="36">
        <v>19027.13044444</v>
      </c>
      <c r="P15" s="54">
        <f t="shared" si="7"/>
        <v>0.362059061763202</v>
      </c>
      <c r="Q15" s="54" t="e">
        <f t="shared" si="8"/>
        <v>#REF!</v>
      </c>
      <c r="R15" s="53"/>
      <c r="S15" s="53"/>
    </row>
    <row r="16" outlineLevel="2" spans="1:38">
      <c r="A16" s="4"/>
      <c r="B16" s="40" t="s">
        <v>182</v>
      </c>
      <c r="C16" s="41">
        <v>815.38656154</v>
      </c>
      <c r="D16" s="41">
        <v>1806.36731019</v>
      </c>
      <c r="E16" s="42">
        <f t="shared" si="9"/>
        <v>990.98074865</v>
      </c>
      <c r="F16" s="43">
        <f t="shared" si="10"/>
        <v>2.21535084755182</v>
      </c>
      <c r="G16" s="41">
        <v>204.49</v>
      </c>
      <c r="H16" s="41">
        <v>94</v>
      </c>
      <c r="I16" s="42">
        <f t="shared" si="5"/>
        <v>-110.49</v>
      </c>
      <c r="J16" s="56">
        <v>2</v>
      </c>
      <c r="K16" s="44">
        <v>1633.34656154</v>
      </c>
      <c r="L16" s="41" t="e">
        <f>D16+SUMIF(#REF!,B16,#REF!)</f>
        <v>#REF!</v>
      </c>
      <c r="M16" s="42" t="e">
        <f t="shared" si="3"/>
        <v>#REF!</v>
      </c>
      <c r="N16" s="45" t="e">
        <f t="shared" si="11"/>
        <v>#REF!</v>
      </c>
      <c r="O16" s="44">
        <v>1633.34656154</v>
      </c>
      <c r="P16" s="55">
        <f t="shared" si="7"/>
        <v>1.10593021268363</v>
      </c>
      <c r="Q16" s="55" t="e">
        <f t="shared" si="8"/>
        <v>#REF!</v>
      </c>
      <c r="R16" s="31"/>
      <c r="S16" s="31"/>
    </row>
    <row r="17" s="1" customFormat="1" outlineLevel="2" spans="2:20">
      <c r="B17" s="49" t="s">
        <v>302</v>
      </c>
      <c r="C17" s="50">
        <v>3053.500452912</v>
      </c>
      <c r="D17" s="33">
        <v>867.280364912</v>
      </c>
      <c r="E17" s="51">
        <f t="shared" si="9"/>
        <v>-2186.220088</v>
      </c>
      <c r="F17" s="52">
        <f t="shared" si="10"/>
        <v>0.284028241779008</v>
      </c>
      <c r="G17" s="33">
        <v>511.94</v>
      </c>
      <c r="H17" s="33">
        <v>0</v>
      </c>
      <c r="I17" s="51">
        <f t="shared" si="5"/>
        <v>-511.94</v>
      </c>
      <c r="J17" s="52">
        <f t="shared" si="6"/>
        <v>0</v>
      </c>
      <c r="K17" s="36">
        <v>5101.260452912</v>
      </c>
      <c r="L17" s="33" t="e">
        <f>D17+SUMIF(#REF!,B17,#REF!)</f>
        <v>#REF!</v>
      </c>
      <c r="M17" s="51" t="e">
        <f t="shared" si="3"/>
        <v>#REF!</v>
      </c>
      <c r="N17" s="37" t="e">
        <f t="shared" si="11"/>
        <v>#REF!</v>
      </c>
      <c r="O17" s="36">
        <v>5101.260452912</v>
      </c>
      <c r="P17" s="54">
        <f t="shared" si="7"/>
        <v>0.17001295521324</v>
      </c>
      <c r="Q17" s="54" t="e">
        <f t="shared" si="8"/>
        <v>#REF!</v>
      </c>
      <c r="R17" s="53"/>
      <c r="S17" s="53"/>
    </row>
    <row r="18" outlineLevel="2" spans="2:20">
      <c r="B18" s="57"/>
      <c r="C18" s="58"/>
      <c r="D18" s="58"/>
      <c r="E18" s="59"/>
      <c r="F18" s="60"/>
      <c r="G18" s="58"/>
      <c r="H18" s="58"/>
      <c r="I18" s="59"/>
      <c r="J18" s="60"/>
      <c r="K18" s="58"/>
      <c r="L18" s="58"/>
      <c r="M18" s="59"/>
      <c r="N18" s="61"/>
      <c r="O18" s="62"/>
      <c r="P18" s="61"/>
      <c r="Q18" s="63"/>
      <c r="R18" s="31"/>
      <c r="S18" s="31"/>
    </row>
    <row r="19" ht="13.85" spans="2:20">
      <c r="B19" s="2" t="s">
        <v>303</v>
      </c>
      <c r="C19" s="64" t="s">
        <v>304</v>
      </c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5"/>
      <c r="S19" s="65"/>
      <c r="T19" s="65"/>
    </row>
    <row r="20" ht="13.9" spans="2:20">
      <c r="B20" s="66"/>
      <c r="C20" s="64" t="s">
        <v>305</v>
      </c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</row>
    <row r="21" ht="13.85" spans="2:20">
      <c r="B21" s="66"/>
      <c r="C21" s="64" t="s">
        <v>306</v>
      </c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7"/>
      <c r="T21" s="67"/>
    </row>
    <row r="22" ht="13.85" spans="2:20">
      <c r="B22" s="66"/>
      <c r="C22" s="64" t="s">
        <v>307</v>
      </c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</row>
    <row r="25" spans="2:20">
      <c r="M25" s="68"/>
    </row>
    <row r="26" spans="2:20">
      <c r="M26" s="68"/>
    </row>
    <row r="27" spans="2:20">
      <c r="M27" s="68"/>
    </row>
  </sheetData>
  <mergeCells count="7">
    <mergeCell ref="C1:Q1"/>
    <mergeCell ref="C2:F2"/>
    <mergeCell ref="G2:J2"/>
    <mergeCell ref="K2:N2"/>
    <mergeCell ref="O2:Q2"/>
    <mergeCell ref="C19:Q19"/>
    <mergeCell ref="B2:B3"/>
  </mergeCells>
  <conditionalFormatting sqref="J4">
    <cfRule type="cellIs" dxfId="0" priority="17" operator="lessThan">
      <formula>0.6</formula>
    </cfRule>
  </conditionalFormatting>
  <conditionalFormatting sqref="J11">
    <cfRule type="cellIs" dxfId="0" priority="2" operator="lessThan">
      <formula>0.6</formula>
    </cfRule>
  </conditionalFormatting>
  <conditionalFormatting sqref="J14">
    <cfRule type="cellIs" dxfId="0" priority="1" operator="lessThan">
      <formula>0.6</formula>
    </cfRule>
  </conditionalFormatting>
  <conditionalFormatting sqref="F4:F18">
    <cfRule type="cellIs" dxfId="0" priority="20" operator="lessThan">
      <formula>0.6</formula>
    </cfRule>
  </conditionalFormatting>
  <conditionalFormatting sqref="N4:N18">
    <cfRule type="cellIs" dxfId="0" priority="21" operator="lessThan">
      <formula>0.6</formula>
    </cfRule>
  </conditionalFormatting>
  <conditionalFormatting sqref="N4:N17">
    <cfRule type="cellIs" dxfId="1" priority="8" operator="greaterThan">
      <formula>0.7</formula>
    </cfRule>
  </conditionalFormatting>
  <conditionalFormatting sqref="N5:N18">
    <cfRule type="cellIs" dxfId="2" priority="9" operator="lessThan">
      <formula>0.7</formula>
    </cfRule>
  </conditionalFormatting>
  <conditionalFormatting sqref="P4:P18">
    <cfRule type="cellIs" dxfId="0" priority="19" operator="lessThan">
      <formula>0.2</formula>
    </cfRule>
    <cfRule type="cellIs" dxfId="0" priority="22" operator="lessThan">
      <formula>0.25</formula>
    </cfRule>
  </conditionalFormatting>
  <conditionalFormatting sqref="P4:P17">
    <cfRule type="cellIs" dxfId="1" priority="3" operator="greaterThan">
      <formula>0.25</formula>
    </cfRule>
    <cfRule type="cellIs" dxfId="2" priority="4" operator="lessThan">
      <formula>0.25</formula>
    </cfRule>
  </conditionalFormatting>
  <conditionalFormatting sqref="Q4:Q18">
    <cfRule type="cellIs" dxfId="0" priority="23" operator="lessThan">
      <formula>0.5</formula>
    </cfRule>
    <cfRule type="cellIs" dxfId="3" priority="24" operator="lessThan">
      <formula>0.5</formula>
    </cfRule>
  </conditionalFormatting>
  <conditionalFormatting sqref="Q4:Q17">
    <cfRule type="cellIs" dxfId="2" priority="5" operator="lessThan">
      <formula>0.5</formula>
    </cfRule>
    <cfRule type="cellIs" dxfId="1" priority="6" operator="greaterThan">
      <formula>0.5</formula>
    </cfRule>
    <cfRule type="cellIs" dxfId="4" priority="7" operator="lessThan">
      <formula>0.5</formula>
    </cfRule>
  </conditionalFormatting>
  <conditionalFormatting sqref="J5:J10 J12:J13 J15:J18">
    <cfRule type="cellIs" dxfId="0" priority="14" operator="lessThan">
      <formula>0.6</formula>
    </cfRule>
  </conditionalFormatting>
  <pageMargins left="0.7" right="0.7" top="0.75" bottom="0.75" header="0.3" footer="0.3"/>
  <pageSetup paperSize="9" orientation="portrait"/>
  <headerFooter/>
  <ignoredErrors>
    <ignoredError sqref="F4" formula="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手机&amp;平板保底版销售计划数量VS 实际出货</vt:lpstr>
      <vt:lpstr>数量汇总</vt:lpstr>
      <vt:lpstr>目标完成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SPROC-X270</dc:creator>
  <cp:lastModifiedBy>Cindy</cp:lastModifiedBy>
  <dcterms:created xsi:type="dcterms:W3CDTF">2020-02-13T08:55:00Z</dcterms:created>
  <dcterms:modified xsi:type="dcterms:W3CDTF">2026-02-07T04:48:10Z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74312B3237B34F0598E0B6EED178AE90</vt:lpwstr>
  </property>
  <property fmtid="{D5CDD505-2E9C-101B-9397-08002B2CF9AE}" pid="4" name="CalculationRule">
    <vt:i4>0</vt:i4>
  </property>
</Properties>
</file>